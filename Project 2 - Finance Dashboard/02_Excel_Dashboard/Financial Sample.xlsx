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hee\OneDrive\Desktop\Freelancing Portfolio\Project 2 - Finance Dashboard\Excel File\"/>
    </mc:Choice>
  </mc:AlternateContent>
  <xr:revisionPtr revIDLastSave="0" documentId="13_ncr:1_{C388D48F-3E70-4C01-9E1C-E09B8CFE2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9" r:id="rId1"/>
    <sheet name="Raw data" sheetId="6" r:id="rId2"/>
    <sheet name="Raw data Copy" sheetId="10" r:id="rId3"/>
    <sheet name="Pivot Tables" sheetId="8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/>
  <c r="D2" i="8"/>
  <c r="C2" i="8"/>
  <c r="R701" i="10"/>
  <c r="N701" i="10"/>
  <c r="N700" i="10"/>
  <c r="R699" i="10"/>
  <c r="N699" i="10"/>
  <c r="N698" i="10"/>
  <c r="R697" i="10"/>
  <c r="N697" i="10"/>
  <c r="R696" i="10"/>
  <c r="N696" i="10"/>
  <c r="N695" i="10"/>
  <c r="N694" i="10"/>
  <c r="N693" i="10"/>
  <c r="N692" i="10"/>
  <c r="N691" i="10"/>
  <c r="N690" i="10"/>
  <c r="R689" i="10"/>
  <c r="N689" i="10"/>
  <c r="R688" i="10"/>
  <c r="N688" i="10"/>
  <c r="N687" i="10"/>
  <c r="R686" i="10"/>
  <c r="N686" i="10"/>
  <c r="R685" i="10"/>
  <c r="N685" i="10"/>
  <c r="R684" i="10"/>
  <c r="N684" i="10"/>
  <c r="R683" i="10"/>
  <c r="N683" i="10"/>
  <c r="R682" i="10"/>
  <c r="N682" i="10"/>
  <c r="R681" i="10"/>
  <c r="N681" i="10"/>
  <c r="N680" i="10"/>
  <c r="R679" i="10"/>
  <c r="N679" i="10"/>
  <c r="R678" i="10"/>
  <c r="N678" i="10"/>
  <c r="R677" i="10"/>
  <c r="N677" i="10"/>
  <c r="R676" i="10"/>
  <c r="N676" i="10"/>
  <c r="R675" i="10"/>
  <c r="N675" i="10"/>
  <c r="R674" i="10"/>
  <c r="N674" i="10"/>
  <c r="N673" i="10"/>
  <c r="R672" i="10"/>
  <c r="N672" i="10"/>
  <c r="R671" i="10"/>
  <c r="N671" i="10"/>
  <c r="R670" i="10"/>
  <c r="N670" i="10"/>
  <c r="R669" i="10"/>
  <c r="N669" i="10"/>
  <c r="N668" i="10"/>
  <c r="R667" i="10"/>
  <c r="N667" i="10"/>
  <c r="R666" i="10"/>
  <c r="N666" i="10"/>
  <c r="R665" i="10"/>
  <c r="N665" i="10"/>
  <c r="R664" i="10"/>
  <c r="N664" i="10"/>
  <c r="R663" i="10"/>
  <c r="N663" i="10"/>
  <c r="R662" i="10"/>
  <c r="N662" i="10"/>
  <c r="N661" i="10"/>
  <c r="R660" i="10"/>
  <c r="N660" i="10"/>
  <c r="R659" i="10"/>
  <c r="N659" i="10"/>
  <c r="R658" i="10"/>
  <c r="N658" i="10"/>
  <c r="R657" i="10"/>
  <c r="N657" i="10"/>
  <c r="N656" i="10"/>
  <c r="R655" i="10"/>
  <c r="N655" i="10"/>
  <c r="N654" i="10"/>
  <c r="R653" i="10"/>
  <c r="N653" i="10"/>
  <c r="R652" i="10"/>
  <c r="N652" i="10"/>
  <c r="R651" i="10"/>
  <c r="N651" i="10"/>
  <c r="R650" i="10"/>
  <c r="N650" i="10"/>
  <c r="N649" i="10"/>
  <c r="R648" i="10"/>
  <c r="N648" i="10"/>
  <c r="N647" i="10"/>
  <c r="R646" i="10"/>
  <c r="N646" i="10"/>
  <c r="R645" i="10"/>
  <c r="N645" i="10"/>
  <c r="R644" i="10"/>
  <c r="N644" i="10"/>
  <c r="R643" i="10"/>
  <c r="N643" i="10"/>
  <c r="R642" i="10"/>
  <c r="N642" i="10"/>
  <c r="R641" i="10"/>
  <c r="N641" i="10"/>
  <c r="R640" i="10"/>
  <c r="N640" i="10"/>
  <c r="R639" i="10"/>
  <c r="N639" i="10"/>
  <c r="N638" i="10"/>
  <c r="R637" i="10"/>
  <c r="N637" i="10"/>
  <c r="R636" i="10"/>
  <c r="N636" i="10"/>
  <c r="R635" i="10"/>
  <c r="N635" i="10"/>
  <c r="R634" i="10"/>
  <c r="N634" i="10"/>
  <c r="N633" i="10"/>
  <c r="R632" i="10"/>
  <c r="N632" i="10"/>
  <c r="R631" i="10"/>
  <c r="N631" i="10"/>
  <c r="N630" i="10"/>
  <c r="R629" i="10"/>
  <c r="N629" i="10"/>
  <c r="R628" i="10"/>
  <c r="N628" i="10"/>
  <c r="R627" i="10"/>
  <c r="N627" i="10"/>
  <c r="R626" i="10"/>
  <c r="N626" i="10"/>
  <c r="R625" i="10"/>
  <c r="N625" i="10"/>
  <c r="R624" i="10"/>
  <c r="N624" i="10"/>
  <c r="R623" i="10"/>
  <c r="N623" i="10"/>
  <c r="R622" i="10"/>
  <c r="N622" i="10"/>
  <c r="R621" i="10"/>
  <c r="N621" i="10"/>
  <c r="R620" i="10"/>
  <c r="N620" i="10"/>
  <c r="R619" i="10"/>
  <c r="N619" i="10"/>
  <c r="R618" i="10"/>
  <c r="N618" i="10"/>
  <c r="R617" i="10"/>
  <c r="N617" i="10"/>
  <c r="R616" i="10"/>
  <c r="N616" i="10"/>
  <c r="R615" i="10"/>
  <c r="N615" i="10"/>
  <c r="R614" i="10"/>
  <c r="N614" i="10"/>
  <c r="R613" i="10"/>
  <c r="N613" i="10"/>
  <c r="R612" i="10"/>
  <c r="N612" i="10"/>
  <c r="R611" i="10"/>
  <c r="N611" i="10"/>
  <c r="R610" i="10"/>
  <c r="N610" i="10"/>
  <c r="R609" i="10"/>
  <c r="N609" i="10"/>
  <c r="R608" i="10"/>
  <c r="N608" i="10"/>
  <c r="R607" i="10"/>
  <c r="N607" i="10"/>
  <c r="R606" i="10"/>
  <c r="N606" i="10"/>
  <c r="R605" i="10"/>
  <c r="N605" i="10"/>
  <c r="R604" i="10"/>
  <c r="N604" i="10"/>
  <c r="R603" i="10"/>
  <c r="N603" i="10"/>
  <c r="R602" i="10"/>
  <c r="N602" i="10"/>
  <c r="R601" i="10"/>
  <c r="N601" i="10"/>
  <c r="R600" i="10"/>
  <c r="N600" i="10"/>
  <c r="R599" i="10"/>
  <c r="N599" i="10"/>
  <c r="R598" i="10"/>
  <c r="N598" i="10"/>
  <c r="R597" i="10"/>
  <c r="N597" i="10"/>
  <c r="R596" i="10"/>
  <c r="N596" i="10"/>
  <c r="R595" i="10"/>
  <c r="N595" i="10"/>
  <c r="R594" i="10"/>
  <c r="N594" i="10"/>
  <c r="R593" i="10"/>
  <c r="N593" i="10"/>
  <c r="R592" i="10"/>
  <c r="N592" i="10"/>
  <c r="R591" i="10"/>
  <c r="N591" i="10"/>
  <c r="R590" i="10"/>
  <c r="N590" i="10"/>
  <c r="R589" i="10"/>
  <c r="N589" i="10"/>
  <c r="R588" i="10"/>
  <c r="N588" i="10"/>
  <c r="R587" i="10"/>
  <c r="N587" i="10"/>
  <c r="R586" i="10"/>
  <c r="N586" i="10"/>
  <c r="R585" i="10"/>
  <c r="N585" i="10"/>
  <c r="R584" i="10"/>
  <c r="N584" i="10"/>
  <c r="R583" i="10"/>
  <c r="N583" i="10"/>
  <c r="R582" i="10"/>
  <c r="N582" i="10"/>
  <c r="R581" i="10"/>
  <c r="N581" i="10"/>
  <c r="R580" i="10"/>
  <c r="N580" i="10"/>
  <c r="R579" i="10"/>
  <c r="N579" i="10"/>
  <c r="N578" i="10"/>
  <c r="R577" i="10"/>
  <c r="N577" i="10"/>
  <c r="R576" i="10"/>
  <c r="N576" i="10"/>
  <c r="R575" i="10"/>
  <c r="N575" i="10"/>
  <c r="R574" i="10"/>
  <c r="N574" i="10"/>
  <c r="R573" i="10"/>
  <c r="N573" i="10"/>
  <c r="R572" i="10"/>
  <c r="N572" i="10"/>
  <c r="R571" i="10"/>
  <c r="N571" i="10"/>
  <c r="R570" i="10"/>
  <c r="N570" i="10"/>
  <c r="R569" i="10"/>
  <c r="N569" i="10"/>
  <c r="N568" i="10"/>
  <c r="R567" i="10"/>
  <c r="N567" i="10"/>
  <c r="R566" i="10"/>
  <c r="N566" i="10"/>
  <c r="R565" i="10"/>
  <c r="N565" i="10"/>
  <c r="R564" i="10"/>
  <c r="N564" i="10"/>
  <c r="R563" i="10"/>
  <c r="N563" i="10"/>
  <c r="R562" i="10"/>
  <c r="N562" i="10"/>
  <c r="R561" i="10"/>
  <c r="N561" i="10"/>
  <c r="R560" i="10"/>
  <c r="N560" i="10"/>
  <c r="R559" i="10"/>
  <c r="N559" i="10"/>
  <c r="R558" i="10"/>
  <c r="N558" i="10"/>
  <c r="R557" i="10"/>
  <c r="N557" i="10"/>
  <c r="R556" i="10"/>
  <c r="N556" i="10"/>
  <c r="R555" i="10"/>
  <c r="N555" i="10"/>
  <c r="R554" i="10"/>
  <c r="N554" i="10"/>
  <c r="R553" i="10"/>
  <c r="N553" i="10"/>
  <c r="R552" i="10"/>
  <c r="N552" i="10"/>
  <c r="R551" i="10"/>
  <c r="N551" i="10"/>
  <c r="R550" i="10"/>
  <c r="N550" i="10"/>
  <c r="R549" i="10"/>
  <c r="N549" i="10"/>
  <c r="R548" i="10"/>
  <c r="N548" i="10"/>
  <c r="R547" i="10"/>
  <c r="N547" i="10"/>
  <c r="R546" i="10"/>
  <c r="N546" i="10"/>
  <c r="R545" i="10"/>
  <c r="N545" i="10"/>
  <c r="R544" i="10"/>
  <c r="N544" i="10"/>
  <c r="R543" i="10"/>
  <c r="N543" i="10"/>
  <c r="R542" i="10"/>
  <c r="N542" i="10"/>
  <c r="R541" i="10"/>
  <c r="N541" i="10"/>
  <c r="R540" i="10"/>
  <c r="N540" i="10"/>
  <c r="R539" i="10"/>
  <c r="N539" i="10"/>
  <c r="R538" i="10"/>
  <c r="N538" i="10"/>
  <c r="N537" i="10"/>
  <c r="N536" i="10"/>
  <c r="N535" i="10"/>
  <c r="N534" i="10"/>
  <c r="N533" i="10"/>
  <c r="N532" i="10"/>
  <c r="N531" i="10"/>
  <c r="N530" i="10"/>
  <c r="N529" i="10"/>
  <c r="N528" i="10"/>
  <c r="N527" i="10"/>
  <c r="N526" i="10"/>
  <c r="N525" i="10"/>
  <c r="N524" i="10"/>
  <c r="N523" i="10"/>
  <c r="N522" i="10"/>
  <c r="N521" i="10"/>
  <c r="N520" i="10"/>
  <c r="N519" i="10"/>
  <c r="N518" i="10"/>
  <c r="N517" i="10"/>
  <c r="N516" i="10"/>
  <c r="N515" i="10"/>
  <c r="N514" i="10"/>
  <c r="N513" i="10"/>
  <c r="N512" i="10"/>
  <c r="N511" i="10"/>
  <c r="N510" i="10"/>
  <c r="N509" i="10"/>
  <c r="N508" i="10"/>
  <c r="N507" i="10"/>
  <c r="N506" i="10"/>
  <c r="N505" i="10"/>
  <c r="N504" i="10"/>
  <c r="N503" i="10"/>
  <c r="N502" i="10"/>
  <c r="N501" i="10"/>
  <c r="N500" i="10"/>
  <c r="N499" i="10"/>
  <c r="N498" i="10"/>
  <c r="N497" i="10"/>
  <c r="N496" i="10"/>
  <c r="N495" i="10"/>
  <c r="N494" i="10"/>
  <c r="N493" i="10"/>
  <c r="N492" i="10"/>
  <c r="N491" i="10"/>
  <c r="N490" i="10"/>
  <c r="N489" i="10"/>
  <c r="N488" i="10"/>
  <c r="N487" i="10"/>
  <c r="N486" i="10"/>
  <c r="N485" i="10"/>
  <c r="N484" i="10"/>
  <c r="N483" i="10"/>
  <c r="N482" i="10"/>
  <c r="N481" i="10"/>
  <c r="N480" i="10"/>
  <c r="N479" i="10"/>
  <c r="N478" i="10"/>
  <c r="N477" i="10"/>
  <c r="N476" i="10"/>
  <c r="N475" i="10"/>
  <c r="N474" i="10"/>
  <c r="N473" i="10"/>
  <c r="N472" i="10"/>
  <c r="N471" i="10"/>
  <c r="N470" i="10"/>
  <c r="N469" i="10"/>
  <c r="N468" i="10"/>
  <c r="N467" i="10"/>
  <c r="N466" i="10"/>
  <c r="N465" i="10"/>
  <c r="N464" i="10"/>
  <c r="N463" i="10"/>
  <c r="R462" i="10"/>
  <c r="N462" i="10"/>
  <c r="R461" i="10"/>
  <c r="N461" i="10"/>
  <c r="R460" i="10"/>
  <c r="N460" i="10"/>
  <c r="R459" i="10"/>
  <c r="N459" i="10"/>
  <c r="R458" i="10"/>
  <c r="N458" i="10"/>
  <c r="R457" i="10"/>
  <c r="N457" i="10"/>
  <c r="R456" i="10"/>
  <c r="N456" i="10"/>
  <c r="N455" i="10"/>
  <c r="R454" i="10"/>
  <c r="N454" i="10"/>
  <c r="R453" i="10"/>
  <c r="N453" i="10"/>
  <c r="R452" i="10"/>
  <c r="N452" i="10"/>
  <c r="R451" i="10"/>
  <c r="N451" i="10"/>
  <c r="R450" i="10"/>
  <c r="N450" i="10"/>
  <c r="N449" i="10"/>
  <c r="R448" i="10"/>
  <c r="N448" i="10"/>
  <c r="R447" i="10"/>
  <c r="N447" i="10"/>
  <c r="N446" i="10"/>
  <c r="R445" i="10"/>
  <c r="N445" i="10"/>
  <c r="R444" i="10"/>
  <c r="N444" i="10"/>
  <c r="N443" i="10"/>
  <c r="R442" i="10"/>
  <c r="N442" i="10"/>
  <c r="R441" i="10"/>
  <c r="N441" i="10"/>
  <c r="R440" i="10"/>
  <c r="N440" i="10"/>
  <c r="R439" i="10"/>
  <c r="N439" i="10"/>
  <c r="R438" i="10"/>
  <c r="N438" i="10"/>
  <c r="R437" i="10"/>
  <c r="N437" i="10"/>
  <c r="R436" i="10"/>
  <c r="N436" i="10"/>
  <c r="R435" i="10"/>
  <c r="N435" i="10"/>
  <c r="R434" i="10"/>
  <c r="N434" i="10"/>
  <c r="R433" i="10"/>
  <c r="N433" i="10"/>
  <c r="R432" i="10"/>
  <c r="N432" i="10"/>
  <c r="R431" i="10"/>
  <c r="N431" i="10"/>
  <c r="R430" i="10"/>
  <c r="N430" i="10"/>
  <c r="R429" i="10"/>
  <c r="N429" i="10"/>
  <c r="R428" i="10"/>
  <c r="N428" i="10"/>
  <c r="R427" i="10"/>
  <c r="N427" i="10"/>
  <c r="R426" i="10"/>
  <c r="N426" i="10"/>
  <c r="R425" i="10"/>
  <c r="N425" i="10"/>
  <c r="R424" i="10"/>
  <c r="N424" i="10"/>
  <c r="R423" i="10"/>
  <c r="N423" i="10"/>
  <c r="R422" i="10"/>
  <c r="N422" i="10"/>
  <c r="R421" i="10"/>
  <c r="N421" i="10"/>
  <c r="R420" i="10"/>
  <c r="N420" i="10"/>
  <c r="R419" i="10"/>
  <c r="N419" i="10"/>
  <c r="R418" i="10"/>
  <c r="N418" i="10"/>
  <c r="R417" i="10"/>
  <c r="N417" i="10"/>
  <c r="R416" i="10"/>
  <c r="N416" i="10"/>
  <c r="R415" i="10"/>
  <c r="N415" i="10"/>
  <c r="R414" i="10"/>
  <c r="N414" i="10"/>
  <c r="R413" i="10"/>
  <c r="N413" i="10"/>
  <c r="R412" i="10"/>
  <c r="N412" i="10"/>
  <c r="R411" i="10"/>
  <c r="N411" i="10"/>
  <c r="R410" i="10"/>
  <c r="N410" i="10"/>
  <c r="R409" i="10"/>
  <c r="N409" i="10"/>
  <c r="R408" i="10"/>
  <c r="N408" i="10"/>
  <c r="R407" i="10"/>
  <c r="N407" i="10"/>
  <c r="R406" i="10"/>
  <c r="N406" i="10"/>
  <c r="R405" i="10"/>
  <c r="N405" i="10"/>
  <c r="R404" i="10"/>
  <c r="N404" i="10"/>
  <c r="R403" i="10"/>
  <c r="N403" i="10"/>
  <c r="R402" i="10"/>
  <c r="N402" i="10"/>
  <c r="R401" i="10"/>
  <c r="N401" i="10"/>
  <c r="R400" i="10"/>
  <c r="N400" i="10"/>
  <c r="R399" i="10"/>
  <c r="N399" i="10"/>
  <c r="R398" i="10"/>
  <c r="N398" i="10"/>
  <c r="R397" i="10"/>
  <c r="N397" i="10"/>
  <c r="R396" i="10"/>
  <c r="N396" i="10"/>
  <c r="R395" i="10"/>
  <c r="N395" i="10"/>
  <c r="R394" i="10"/>
  <c r="N394" i="10"/>
  <c r="R393" i="10"/>
  <c r="N393" i="10"/>
  <c r="R392" i="10"/>
  <c r="N392" i="10"/>
  <c r="R391" i="10"/>
  <c r="N391" i="10"/>
  <c r="R390" i="10"/>
  <c r="N390" i="10"/>
  <c r="R389" i="10"/>
  <c r="N389" i="10"/>
  <c r="R388" i="10"/>
  <c r="N388" i="10"/>
  <c r="R387" i="10"/>
  <c r="N387" i="10"/>
  <c r="R386" i="10"/>
  <c r="N386" i="10"/>
  <c r="R385" i="10"/>
  <c r="N385" i="10"/>
  <c r="R384" i="10"/>
  <c r="N384" i="10"/>
  <c r="R383" i="10"/>
  <c r="N383" i="10"/>
  <c r="R382" i="10"/>
  <c r="N382" i="10"/>
  <c r="R381" i="10"/>
  <c r="N381" i="10"/>
  <c r="R380" i="10"/>
  <c r="N380" i="10"/>
  <c r="R379" i="10"/>
  <c r="N379" i="10"/>
  <c r="R378" i="10"/>
  <c r="N378" i="10"/>
  <c r="R377" i="10"/>
  <c r="N377" i="10"/>
  <c r="R376" i="10"/>
  <c r="N376" i="10"/>
  <c r="R375" i="10"/>
  <c r="N375" i="10"/>
  <c r="R374" i="10"/>
  <c r="N374" i="10"/>
  <c r="N373" i="10"/>
  <c r="N372" i="10"/>
  <c r="N371" i="10"/>
  <c r="N370" i="10"/>
  <c r="N369" i="10"/>
  <c r="N368" i="10"/>
  <c r="N367" i="10"/>
  <c r="N366" i="10"/>
  <c r="N365" i="10"/>
  <c r="N364" i="10"/>
  <c r="N363" i="10"/>
  <c r="N362" i="10"/>
  <c r="N361" i="10"/>
  <c r="N360" i="10"/>
  <c r="N359" i="10"/>
  <c r="N358" i="10"/>
  <c r="N357" i="10"/>
  <c r="N356" i="10"/>
  <c r="N355" i="10"/>
  <c r="N354" i="10"/>
  <c r="N353" i="10"/>
  <c r="N352" i="10"/>
  <c r="N351" i="10"/>
  <c r="N350" i="10"/>
  <c r="N349" i="10"/>
  <c r="N348" i="10"/>
  <c r="N347" i="10"/>
  <c r="N346" i="10"/>
  <c r="N345" i="10"/>
  <c r="N344" i="10"/>
  <c r="N343" i="10"/>
  <c r="N342" i="10"/>
  <c r="N341" i="10"/>
  <c r="N340" i="10"/>
  <c r="N339" i="10"/>
  <c r="N338" i="10"/>
  <c r="N337" i="10"/>
  <c r="N336" i="10"/>
  <c r="N335" i="10"/>
  <c r="N334" i="10"/>
  <c r="N333" i="10"/>
  <c r="N332" i="10"/>
  <c r="N331" i="10"/>
  <c r="N330" i="10"/>
  <c r="N329" i="10"/>
  <c r="N328" i="10"/>
  <c r="N327" i="10"/>
  <c r="N326" i="10"/>
  <c r="N325" i="10"/>
  <c r="N324" i="10"/>
  <c r="N323" i="10"/>
  <c r="N322" i="10"/>
  <c r="N321" i="10"/>
  <c r="N320" i="10"/>
  <c r="N319" i="10"/>
  <c r="N318" i="10"/>
  <c r="N317" i="10"/>
  <c r="N316" i="10"/>
  <c r="N315" i="10"/>
  <c r="N314" i="10"/>
  <c r="N313" i="10"/>
  <c r="N312" i="10"/>
  <c r="N311" i="10"/>
  <c r="N310" i="10"/>
  <c r="N309" i="10"/>
  <c r="N308" i="10"/>
  <c r="N307" i="10"/>
  <c r="N306" i="10"/>
  <c r="N305" i="10"/>
  <c r="N304" i="10"/>
  <c r="N303" i="10"/>
  <c r="N302" i="10"/>
  <c r="N301" i="10"/>
  <c r="N300" i="10"/>
  <c r="N299" i="10"/>
  <c r="N298" i="10"/>
  <c r="N297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R273" i="10"/>
  <c r="N273" i="10"/>
  <c r="R272" i="10"/>
  <c r="N272" i="10"/>
  <c r="R271" i="10"/>
  <c r="N271" i="10"/>
  <c r="R270" i="10"/>
  <c r="N270" i="10"/>
  <c r="R269" i="10"/>
  <c r="N269" i="10"/>
  <c r="R268" i="10"/>
  <c r="N268" i="10"/>
  <c r="R267" i="10"/>
  <c r="N267" i="10"/>
  <c r="R266" i="10"/>
  <c r="N266" i="10"/>
  <c r="R265" i="10"/>
  <c r="N265" i="10"/>
  <c r="R264" i="10"/>
  <c r="N264" i="10"/>
  <c r="R263" i="10"/>
  <c r="N263" i="10"/>
  <c r="R262" i="10"/>
  <c r="N262" i="10"/>
  <c r="R261" i="10"/>
  <c r="N261" i="10"/>
  <c r="R260" i="10"/>
  <c r="N260" i="10"/>
  <c r="R259" i="10"/>
  <c r="N259" i="10"/>
  <c r="R258" i="10"/>
  <c r="N258" i="10"/>
  <c r="R257" i="10"/>
  <c r="N257" i="10"/>
  <c r="R256" i="10"/>
  <c r="N256" i="10"/>
  <c r="R255" i="10"/>
  <c r="N255" i="10"/>
  <c r="R254" i="10"/>
  <c r="N254" i="10"/>
  <c r="R253" i="10"/>
  <c r="N253" i="10"/>
  <c r="R252" i="10"/>
  <c r="N252" i="10"/>
  <c r="R251" i="10"/>
  <c r="N251" i="10"/>
  <c r="R250" i="10"/>
  <c r="N250" i="10"/>
  <c r="R249" i="10"/>
  <c r="N249" i="10"/>
  <c r="R248" i="10"/>
  <c r="N248" i="10"/>
  <c r="R247" i="10"/>
  <c r="N247" i="10"/>
  <c r="R246" i="10"/>
  <c r="N246" i="10"/>
  <c r="R245" i="10"/>
  <c r="N245" i="10"/>
  <c r="R244" i="10"/>
  <c r="N244" i="10"/>
  <c r="R243" i="10"/>
  <c r="N243" i="10"/>
  <c r="R242" i="10"/>
  <c r="N242" i="10"/>
  <c r="R241" i="10"/>
  <c r="N241" i="10"/>
  <c r="R240" i="10"/>
  <c r="N240" i="10"/>
  <c r="R239" i="10"/>
  <c r="N239" i="10"/>
  <c r="R238" i="10"/>
  <c r="N238" i="10"/>
  <c r="R237" i="10"/>
  <c r="N237" i="10"/>
  <c r="R236" i="10"/>
  <c r="N236" i="10"/>
  <c r="R235" i="10"/>
  <c r="N235" i="10"/>
  <c r="R234" i="10"/>
  <c r="N234" i="10"/>
  <c r="R233" i="10"/>
  <c r="N233" i="10"/>
  <c r="R232" i="10"/>
  <c r="N232" i="10"/>
  <c r="R231" i="10"/>
  <c r="N231" i="10"/>
  <c r="R230" i="10"/>
  <c r="N230" i="10"/>
  <c r="R229" i="10"/>
  <c r="N229" i="10"/>
  <c r="R228" i="10"/>
  <c r="N228" i="10"/>
  <c r="R227" i="10"/>
  <c r="N227" i="10"/>
  <c r="R226" i="10"/>
  <c r="N226" i="10"/>
  <c r="R225" i="10"/>
  <c r="N225" i="10"/>
  <c r="R224" i="10"/>
  <c r="N224" i="10"/>
  <c r="R223" i="10"/>
  <c r="N223" i="10"/>
  <c r="R222" i="10"/>
  <c r="N222" i="10"/>
  <c r="R221" i="10"/>
  <c r="N221" i="10"/>
  <c r="R220" i="10"/>
  <c r="N220" i="10"/>
  <c r="R219" i="10"/>
  <c r="N219" i="10"/>
  <c r="R218" i="10"/>
  <c r="N218" i="10"/>
  <c r="R217" i="10"/>
  <c r="N217" i="10"/>
  <c r="R216" i="10"/>
  <c r="N216" i="10"/>
  <c r="R215" i="10"/>
  <c r="N215" i="10"/>
  <c r="R214" i="10"/>
  <c r="N214" i="10"/>
  <c r="R213" i="10"/>
  <c r="N213" i="10"/>
  <c r="R212" i="10"/>
  <c r="N212" i="10"/>
  <c r="R211" i="10"/>
  <c r="N211" i="10"/>
  <c r="R210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R78" i="10"/>
  <c r="N78" i="10"/>
  <c r="R77" i="10"/>
  <c r="N77" i="10"/>
  <c r="R76" i="10"/>
  <c r="N76" i="10"/>
  <c r="R75" i="10"/>
  <c r="N75" i="10"/>
  <c r="R74" i="10"/>
  <c r="N74" i="10"/>
  <c r="R73" i="10"/>
  <c r="N73" i="10"/>
  <c r="R72" i="10"/>
  <c r="N72" i="10"/>
  <c r="R71" i="10"/>
  <c r="N71" i="10"/>
  <c r="R70" i="10"/>
  <c r="N70" i="10"/>
  <c r="R69" i="10"/>
  <c r="N69" i="10"/>
  <c r="R68" i="10"/>
  <c r="N68" i="10"/>
  <c r="R67" i="10"/>
  <c r="N67" i="10"/>
  <c r="R66" i="10"/>
  <c r="N66" i="10"/>
  <c r="R65" i="10"/>
  <c r="N65" i="10"/>
  <c r="R64" i="10"/>
  <c r="N64" i="10"/>
  <c r="R63" i="10"/>
  <c r="N63" i="10"/>
  <c r="R62" i="10"/>
  <c r="N62" i="10"/>
  <c r="R61" i="10"/>
  <c r="N61" i="10"/>
  <c r="R60" i="10"/>
  <c r="N60" i="10"/>
  <c r="R59" i="10"/>
  <c r="N59" i="10"/>
  <c r="R58" i="10"/>
  <c r="N58" i="10"/>
  <c r="R57" i="10"/>
  <c r="N57" i="10"/>
  <c r="R56" i="10"/>
  <c r="N56" i="10"/>
  <c r="R55" i="10"/>
  <c r="N55" i="10"/>
  <c r="R54" i="10"/>
  <c r="N54" i="10"/>
  <c r="R53" i="10"/>
  <c r="N53" i="10"/>
  <c r="R52" i="10"/>
  <c r="N52" i="10"/>
  <c r="R51" i="10"/>
  <c r="N51" i="10"/>
  <c r="R50" i="10"/>
  <c r="N50" i="10"/>
  <c r="R49" i="10"/>
  <c r="N49" i="10"/>
  <c r="R48" i="10"/>
  <c r="N48" i="10"/>
  <c r="R47" i="10"/>
  <c r="N47" i="10"/>
  <c r="R46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E2" i="8" l="1"/>
  <c r="R698" i="10"/>
  <c r="R695" i="10"/>
  <c r="R694" i="10"/>
  <c r="R693" i="10"/>
  <c r="R692" i="10"/>
  <c r="R691" i="10"/>
  <c r="R690" i="10"/>
  <c r="R687" i="10"/>
  <c r="R680" i="10"/>
  <c r="R673" i="10"/>
  <c r="R668" i="10"/>
  <c r="R661" i="10"/>
  <c r="R656" i="10"/>
  <c r="R654" i="10"/>
  <c r="R649" i="10"/>
  <c r="R647" i="10"/>
  <c r="R638" i="10"/>
  <c r="R633" i="10"/>
  <c r="R630" i="10"/>
  <c r="R578" i="10"/>
  <c r="R56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46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R443" i="10"/>
  <c r="R700" i="10"/>
  <c r="R455" i="10"/>
  <c r="R449" i="10"/>
  <c r="R9" i="6"/>
  <c r="R30" i="6"/>
  <c r="R32" i="6"/>
  <c r="R36" i="6"/>
  <c r="R39" i="6"/>
  <c r="R42" i="6"/>
  <c r="R45" i="6"/>
  <c r="R48" i="6"/>
  <c r="R52" i="6"/>
  <c r="R55" i="6"/>
  <c r="R60" i="6"/>
  <c r="R64" i="6"/>
  <c r="R67" i="6"/>
  <c r="R71" i="6"/>
  <c r="R74" i="6"/>
  <c r="R77" i="6"/>
  <c r="R81" i="6"/>
  <c r="R84" i="6"/>
  <c r="R88" i="6"/>
  <c r="R92" i="6"/>
  <c r="R95" i="6"/>
  <c r="R98" i="6"/>
  <c r="R101" i="6"/>
  <c r="R104" i="6"/>
  <c r="R107" i="6"/>
  <c r="R111" i="6"/>
  <c r="R114" i="6"/>
  <c r="R118" i="6"/>
  <c r="R120" i="6"/>
  <c r="R124" i="6"/>
  <c r="R127" i="6"/>
  <c r="R131" i="6"/>
  <c r="R135" i="6"/>
  <c r="R141" i="6"/>
  <c r="R147" i="6"/>
  <c r="R153" i="6"/>
  <c r="R158" i="6"/>
  <c r="R162" i="6"/>
  <c r="R165" i="6"/>
  <c r="R170" i="6"/>
  <c r="R173" i="6"/>
  <c r="R129" i="6"/>
  <c r="R133" i="6"/>
  <c r="R137" i="6"/>
  <c r="R139" i="6"/>
  <c r="R143" i="6"/>
  <c r="R145" i="6"/>
  <c r="R149" i="6"/>
  <c r="R152" i="6"/>
  <c r="R156" i="6"/>
  <c r="R159" i="6"/>
  <c r="R167" i="6"/>
  <c r="R171" i="6"/>
  <c r="R175" i="6"/>
  <c r="R8" i="6"/>
  <c r="R25" i="6"/>
  <c r="R26" i="6"/>
  <c r="R27" i="6"/>
  <c r="R28" i="6"/>
  <c r="R29" i="6"/>
  <c r="R31" i="6"/>
  <c r="R34" i="6"/>
  <c r="R37" i="6"/>
  <c r="R40" i="6"/>
  <c r="R43" i="6"/>
  <c r="R46" i="6"/>
  <c r="R49" i="6"/>
  <c r="R53" i="6"/>
  <c r="R56" i="6"/>
  <c r="R59" i="6"/>
  <c r="R62" i="6"/>
  <c r="R65" i="6"/>
  <c r="R68" i="6"/>
  <c r="R72" i="6"/>
  <c r="R75" i="6"/>
  <c r="R79" i="6"/>
  <c r="R82" i="6"/>
  <c r="R86" i="6"/>
  <c r="R89" i="6"/>
  <c r="R93" i="6"/>
  <c r="R96" i="6"/>
  <c r="R99" i="6"/>
  <c r="R102" i="6"/>
  <c r="R106" i="6"/>
  <c r="R109" i="6"/>
  <c r="R112" i="6"/>
  <c r="R115" i="6"/>
  <c r="R117" i="6"/>
  <c r="R121" i="6"/>
  <c r="R123" i="6"/>
  <c r="R126" i="6"/>
  <c r="R130" i="6"/>
  <c r="R136" i="6"/>
  <c r="R142" i="6"/>
  <c r="R146" i="6"/>
  <c r="R151" i="6"/>
  <c r="R155" i="6"/>
  <c r="R160" i="6"/>
  <c r="R164" i="6"/>
  <c r="R168" i="6"/>
  <c r="R174" i="6"/>
  <c r="R2" i="6"/>
  <c r="R3" i="6"/>
  <c r="R4" i="6"/>
  <c r="R5" i="6"/>
  <c r="R6" i="6"/>
  <c r="R7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33" i="6"/>
  <c r="R35" i="6"/>
  <c r="R38" i="6"/>
  <c r="R41" i="6"/>
  <c r="R44" i="6"/>
  <c r="R47" i="6"/>
  <c r="R50" i="6"/>
  <c r="R51" i="6"/>
  <c r="R54" i="6"/>
  <c r="R57" i="6"/>
  <c r="R58" i="6"/>
  <c r="R61" i="6"/>
  <c r="R63" i="6"/>
  <c r="R66" i="6"/>
  <c r="R69" i="6"/>
  <c r="R70" i="6"/>
  <c r="R73" i="6"/>
  <c r="R76" i="6"/>
  <c r="R78" i="6"/>
  <c r="R80" i="6"/>
  <c r="R83" i="6"/>
  <c r="R85" i="6"/>
  <c r="R87" i="6"/>
  <c r="R90" i="6"/>
  <c r="R91" i="6"/>
  <c r="R94" i="6"/>
  <c r="R97" i="6"/>
  <c r="R100" i="6"/>
  <c r="R103" i="6"/>
  <c r="R105" i="6"/>
  <c r="R108" i="6"/>
  <c r="R110" i="6"/>
  <c r="R113" i="6"/>
  <c r="R116" i="6"/>
  <c r="R119" i="6"/>
  <c r="R122" i="6"/>
  <c r="R125" i="6"/>
  <c r="R128" i="6"/>
  <c r="R132" i="6"/>
  <c r="R134" i="6"/>
  <c r="R138" i="6"/>
  <c r="R140" i="6"/>
  <c r="R144" i="6"/>
  <c r="R148" i="6"/>
  <c r="R150" i="6"/>
  <c r="R154" i="6"/>
  <c r="R157" i="6"/>
  <c r="R161" i="6"/>
  <c r="R163" i="6"/>
  <c r="R166" i="6"/>
  <c r="R169" i="6"/>
  <c r="R172" i="6"/>
  <c r="R176" i="6"/>
  <c r="R177" i="6"/>
  <c r="R352" i="6"/>
  <c r="R353" i="6"/>
</calcChain>
</file>

<file path=xl/sharedStrings.xml><?xml version="1.0" encoding="utf-8"?>
<sst xmlns="http://schemas.openxmlformats.org/spreadsheetml/2006/main" count="8491" uniqueCount="84">
  <si>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</si>
  <si>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</si>
  <si>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</si>
  <si>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</si>
  <si>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</si>
  <si>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</si>
  <si>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</si>
  <si>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</si>
  <si>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</si>
  <si>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</si>
  <si>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</si>
  <si>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</si>
  <si>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</si>
  <si>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</si>
  <si>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</si>
  <si>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</si>
  <si>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</si>
  <si>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</si>
  <si>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</si>
  <si>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</si>
  <si>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</si>
  <si>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</si>
  <si>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</si>
  <si>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</si>
  <si>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</si>
  <si>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</si>
  <si>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</si>
  <si>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</si>
  <si>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</si>
  <si>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</si>
  <si>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</si>
  <si>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</si>
  <si>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</si>
  <si>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</si>
  <si>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</si>
  <si>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</si>
  <si>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</si>
  <si>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</si>
  <si>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</si>
  <si>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</si>
  <si>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</si>
  <si>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</si>
  <si>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</si>
  <si>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</si>
  <si>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</si>
  <si>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</si>
  <si>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</si>
  <si>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</si>
  <si>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</si>
  <si>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</si>
  <si>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Duplicate Check</t>
  </si>
  <si>
    <t>Column1</t>
  </si>
  <si>
    <t>Total Revenue</t>
  </si>
  <si>
    <t>KPI Name</t>
  </si>
  <si>
    <t>Value</t>
  </si>
  <si>
    <t>Total Profit</t>
  </si>
  <si>
    <t>Total Units Sold</t>
  </si>
  <si>
    <t>Profit Margin %</t>
  </si>
  <si>
    <t>Grand Total</t>
  </si>
  <si>
    <t>Sum of  Sales</t>
  </si>
  <si>
    <t>Sum of Profit</t>
  </si>
  <si>
    <t>Countries</t>
  </si>
  <si>
    <t>Segments</t>
  </si>
  <si>
    <t>Products</t>
  </si>
  <si>
    <t>Month</t>
  </si>
  <si>
    <t>Revenue by Country</t>
  </si>
  <si>
    <t>Profit by Segment</t>
  </si>
  <si>
    <t>Revenue by Product</t>
  </si>
  <si>
    <t>Monthly Revenue Trend</t>
  </si>
  <si>
    <t>FINANCIAL PERFORMANCE DASHBOARD</t>
  </si>
  <si>
    <r>
      <rPr>
        <b/>
        <sz val="14"/>
        <color theme="1"/>
        <rFont val="Calibri"/>
        <family val="2"/>
        <scheme val="minor"/>
      </rPr>
      <t>Total Revenue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118.73 M</t>
    </r>
  </si>
  <si>
    <r>
      <rPr>
        <b/>
        <sz val="14"/>
        <color theme="1"/>
        <rFont val="Calibri"/>
        <family val="2"/>
        <scheme val="minor"/>
      </rPr>
      <t>Total Profit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16.89 M</t>
    </r>
  </si>
  <si>
    <r>
      <rPr>
        <b/>
        <sz val="14"/>
        <color theme="1"/>
        <rFont val="Calibri"/>
        <family val="2"/>
        <scheme val="minor"/>
      </rPr>
      <t>Total Units Sold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1.13 M</t>
    </r>
  </si>
  <si>
    <r>
      <rPr>
        <b/>
        <sz val="14"/>
        <color theme="1"/>
        <rFont val="Calibri"/>
        <family val="2"/>
        <scheme val="minor"/>
      </rPr>
      <t>Profit Margin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14.23%</t>
    </r>
  </si>
  <si>
    <t>USA</t>
  </si>
  <si>
    <t>Feb</t>
  </si>
  <si>
    <t>Jan</t>
  </si>
  <si>
    <t>Aug</t>
  </si>
  <si>
    <t>Sep</t>
  </si>
  <si>
    <t>Oct</t>
  </si>
  <si>
    <t>Nov</t>
  </si>
  <si>
    <t>Dec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</si>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</sst>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5" fillId="0" borderId="0" xfId="0" applyFont="1"/>
    <xf numFmtId="0" fontId="5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Tables'!$A$8:$A$13</c:f>
              <c:strCache>
                <c:ptCount val="5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'Pivot Tables'!$B$8:$B$13</c:f>
              <c:numCache>
                <c:formatCode>#,##0.00</c:formatCode>
                <c:ptCount val="5"/>
                <c:pt idx="0">
                  <c:v>25029830.165000014</c:v>
                </c:pt>
                <c:pt idx="1">
                  <c:v>24887654.885000005</c:v>
                </c:pt>
                <c:pt idx="2">
                  <c:v>24354172.280000009</c:v>
                </c:pt>
                <c:pt idx="3">
                  <c:v>23505340.820000011</c:v>
                </c:pt>
                <c:pt idx="4">
                  <c:v>20949352.109999999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D-499F-969F-944D2CB2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0403967"/>
        <c:axId val="850392447"/>
      </c:barChart>
      <c:catAx>
        <c:axId val="85040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92447"/>
        <c:crosses val="autoZero"/>
        <c:auto val="1"/>
        <c:lblAlgn val="ctr"/>
        <c:lblOffset val="100"/>
        <c:noMultiLvlLbl val="0"/>
      </c:catAx>
      <c:valAx>
        <c:axId val="8503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Tables'!$D$8:$D$13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'Pivot Tables'!$E$8:$E$13</c:f>
              <c:numCache>
                <c:formatCode>#,##0.00</c:formatCode>
                <c:ptCount val="5"/>
                <c:pt idx="0">
                  <c:v>11388173.169999985</c:v>
                </c:pt>
                <c:pt idx="1">
                  <c:v>4143168.5</c:v>
                </c:pt>
                <c:pt idx="2">
                  <c:v>1316803.1400000001</c:v>
                </c:pt>
                <c:pt idx="3">
                  <c:v>660103.07499999984</c:v>
                </c:pt>
                <c:pt idx="4">
                  <c:v>-614545.625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C-4881-94DF-40CCF50C47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850422687"/>
        <c:axId val="850418367"/>
      </c:barChart>
      <c:catAx>
        <c:axId val="85042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18367"/>
        <c:crosses val="autoZero"/>
        <c:auto val="1"/>
        <c:lblAlgn val="ctr"/>
        <c:lblOffset val="100"/>
        <c:noMultiLvlLbl val="0"/>
      </c:catAx>
      <c:valAx>
        <c:axId val="8504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226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Tables'!$G$8:$G$14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'Pivot Tables'!$H$8:$H$14</c:f>
              <c:numCache>
                <c:formatCode>#,##0.00</c:formatCode>
                <c:ptCount val="6"/>
                <c:pt idx="0">
                  <c:v>33011143.95000001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17747116.059999999</c:v>
                </c:pt>
                <c:pt idx="4">
                  <c:v>15390801.879999995</c:v>
                </c:pt>
                <c:pt idx="5">
                  <c:v>13815307.885000004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E-4E4C-A322-35C40F06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0425087"/>
        <c:axId val="850421727"/>
      </c:barChart>
      <c:catAx>
        <c:axId val="85042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21727"/>
        <c:crosses val="autoZero"/>
        <c:auto val="1"/>
        <c:lblAlgn val="ctr"/>
        <c:lblOffset val="100"/>
        <c:noMultiLvlLbl val="0"/>
      </c:catAx>
      <c:valAx>
        <c:axId val="85042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2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Tables'!$A$20:$A$32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Tables'!$B$20:$B$32</c:f>
              <c:numCache>
                <c:formatCode>#,##0.00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8-4EBA-B726-4DC9ACF79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668255"/>
        <c:axId val="1332661535"/>
      </c:lineChart>
      <c:catAx>
        <c:axId val="13326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61535"/>
        <c:crosses val="autoZero"/>
        <c:auto val="1"/>
        <c:lblAlgn val="ctr"/>
        <c:lblOffset val="100"/>
        <c:noMultiLvlLbl val="0"/>
      </c:catAx>
      <c:valAx>
        <c:axId val="13326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19051</xdr:rowOff>
    </xdr:from>
    <xdr:to>
      <xdr:col>6</xdr:col>
      <xdr:colOff>57150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0D86F-E97C-4FD4-870B-6E252B4EC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72912</xdr:colOff>
      <xdr:row>6</xdr:row>
      <xdr:rowOff>17792</xdr:rowOff>
    </xdr:from>
    <xdr:to>
      <xdr:col>12</xdr:col>
      <xdr:colOff>333375</xdr:colOff>
      <xdr:row>22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B8F49-9875-4DF9-8769-4E6F855EC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85724</xdr:rowOff>
    </xdr:from>
    <xdr:to>
      <xdr:col>6</xdr:col>
      <xdr:colOff>76200</xdr:colOff>
      <xdr:row>38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931AB1-A5F8-4832-8121-1C65FAC51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95251</xdr:colOff>
      <xdr:row>22</xdr:row>
      <xdr:rowOff>76198</xdr:rowOff>
    </xdr:from>
    <xdr:to>
      <xdr:col>12</xdr:col>
      <xdr:colOff>371475</xdr:colOff>
      <xdr:row>38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EE2C99-8CFA-42F6-9F13-DC17F279A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ee" refreshedDate="46186.676843287038" createdVersion="8" refreshedVersion="8" minRefreshableVersion="3" recordCount="700" xr:uid="{CDA39B20-9921-4EA1-B61D-8D7A41073741}">
  <cacheSource type="worksheet">
    <worksheetSource name="financials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Column1" numFmtId="14">
      <sharedItems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/>
    </cacheField>
    <cacheField name="Duplicate Check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None"/>
    <n v="1618.5"/>
    <n v="3"/>
    <n v="20"/>
    <n v="32370"/>
    <n v="0"/>
    <n v="32370"/>
    <n v="16185"/>
    <n v="16185"/>
    <d v="2014-01-01T00:00:00"/>
    <b v="1"/>
    <n v="1"/>
    <x v="0"/>
    <s v="2014"/>
    <n v="0"/>
  </r>
  <r>
    <x v="0"/>
    <x v="1"/>
    <x v="0"/>
    <s v="None"/>
    <n v="1321"/>
    <n v="3"/>
    <n v="20"/>
    <n v="26420"/>
    <n v="0"/>
    <n v="26420"/>
    <n v="13210"/>
    <n v="13210"/>
    <d v="2014-01-01T00:00:00"/>
    <b v="1"/>
    <n v="1"/>
    <x v="0"/>
    <s v="2014"/>
    <n v="0"/>
  </r>
  <r>
    <x v="1"/>
    <x v="2"/>
    <x v="0"/>
    <s v="None"/>
    <n v="2178"/>
    <n v="3"/>
    <n v="15"/>
    <n v="32670"/>
    <n v="0"/>
    <n v="32670"/>
    <n v="21780"/>
    <n v="10890"/>
    <d v="2014-06-01T00:00:00"/>
    <b v="1"/>
    <n v="6"/>
    <x v="1"/>
    <s v="2014"/>
    <n v="0"/>
  </r>
  <r>
    <x v="1"/>
    <x v="1"/>
    <x v="0"/>
    <s v="None"/>
    <n v="888"/>
    <n v="3"/>
    <n v="15"/>
    <n v="13320"/>
    <n v="0"/>
    <n v="13320"/>
    <n v="8880"/>
    <n v="4440"/>
    <d v="2014-06-01T00:00:00"/>
    <b v="1"/>
    <n v="6"/>
    <x v="1"/>
    <s v="2014"/>
    <n v="0"/>
  </r>
  <r>
    <x v="1"/>
    <x v="3"/>
    <x v="0"/>
    <s v="None"/>
    <n v="2470"/>
    <n v="3"/>
    <n v="15"/>
    <n v="37050"/>
    <n v="0"/>
    <n v="37050"/>
    <n v="24700"/>
    <n v="12350"/>
    <d v="2014-06-01T00:00:00"/>
    <b v="1"/>
    <n v="6"/>
    <x v="1"/>
    <s v="2014"/>
    <n v="0"/>
  </r>
  <r>
    <x v="0"/>
    <x v="1"/>
    <x v="0"/>
    <s v="None"/>
    <n v="1513"/>
    <n v="3"/>
    <n v="350"/>
    <n v="529550"/>
    <n v="0"/>
    <n v="529550"/>
    <n v="393380"/>
    <n v="136170"/>
    <d v="2014-12-01T00:00:00"/>
    <b v="1"/>
    <n v="12"/>
    <x v="2"/>
    <s v="2014"/>
    <n v="0"/>
  </r>
  <r>
    <x v="1"/>
    <x v="1"/>
    <x v="1"/>
    <s v="None"/>
    <n v="921"/>
    <n v="5"/>
    <n v="15"/>
    <n v="13815"/>
    <n v="0"/>
    <n v="13815"/>
    <n v="9210"/>
    <n v="4605"/>
    <d v="2014-03-01T00:00:00"/>
    <b v="1"/>
    <n v="3"/>
    <x v="3"/>
    <s v="2014"/>
    <n v="0"/>
  </r>
  <r>
    <x v="2"/>
    <x v="0"/>
    <x v="1"/>
    <s v="None"/>
    <n v="2518"/>
    <n v="5"/>
    <n v="12"/>
    <n v="30216"/>
    <n v="0"/>
    <n v="30216"/>
    <n v="7554"/>
    <n v="22662"/>
    <d v="2014-06-01T00:00:00"/>
    <b v="1"/>
    <n v="6"/>
    <x v="1"/>
    <s v="2014"/>
    <n v="0"/>
  </r>
  <r>
    <x v="0"/>
    <x v="2"/>
    <x v="1"/>
    <s v="None"/>
    <n v="1899"/>
    <n v="5"/>
    <n v="20"/>
    <n v="37980"/>
    <n v="0"/>
    <n v="37980"/>
    <n v="18990"/>
    <n v="18990"/>
    <d v="2014-06-01T00:00:00"/>
    <b v="1"/>
    <n v="6"/>
    <x v="1"/>
    <s v="2014"/>
    <n v="0"/>
  </r>
  <r>
    <x v="2"/>
    <x v="1"/>
    <x v="1"/>
    <s v="None"/>
    <n v="1545"/>
    <n v="5"/>
    <n v="12"/>
    <n v="18540"/>
    <n v="0"/>
    <n v="18540"/>
    <n v="4635"/>
    <n v="13905"/>
    <d v="2014-06-01T00:00:00"/>
    <b v="1"/>
    <n v="6"/>
    <x v="1"/>
    <s v="2014"/>
    <n v="0"/>
  </r>
  <r>
    <x v="1"/>
    <x v="3"/>
    <x v="1"/>
    <s v="None"/>
    <n v="2470"/>
    <n v="5"/>
    <n v="15"/>
    <n v="37050"/>
    <n v="0"/>
    <n v="37050"/>
    <n v="24700"/>
    <n v="12350"/>
    <d v="2014-06-01T00:00:00"/>
    <b v="1"/>
    <n v="6"/>
    <x v="1"/>
    <s v="2014"/>
    <n v="0"/>
  </r>
  <r>
    <x v="3"/>
    <x v="0"/>
    <x v="1"/>
    <s v="None"/>
    <n v="2665.5"/>
    <n v="5"/>
    <n v="125"/>
    <n v="333187.5"/>
    <n v="0"/>
    <n v="333187.5"/>
    <n v="319860"/>
    <n v="13327.5"/>
    <d v="2014-07-01T00:00:00"/>
    <b v="1"/>
    <n v="7"/>
    <x v="4"/>
    <s v="2014"/>
    <n v="0"/>
  </r>
  <r>
    <x v="4"/>
    <x v="3"/>
    <x v="1"/>
    <s v="None"/>
    <n v="958"/>
    <n v="5"/>
    <n v="300"/>
    <n v="287400"/>
    <n v="0"/>
    <n v="287400"/>
    <n v="239500"/>
    <n v="47900"/>
    <d v="2014-08-01T00:00:00"/>
    <b v="1"/>
    <n v="8"/>
    <x v="5"/>
    <s v="2014"/>
    <n v="0"/>
  </r>
  <r>
    <x v="0"/>
    <x v="1"/>
    <x v="1"/>
    <s v="None"/>
    <n v="2146"/>
    <n v="5"/>
    <n v="7"/>
    <n v="15022"/>
    <n v="0"/>
    <n v="15022"/>
    <n v="10730"/>
    <n v="4292"/>
    <d v="2014-09-01T00:00:00"/>
    <b v="1"/>
    <n v="9"/>
    <x v="6"/>
    <s v="2014"/>
    <n v="0"/>
  </r>
  <r>
    <x v="3"/>
    <x v="0"/>
    <x v="1"/>
    <s v="None"/>
    <n v="345"/>
    <n v="5"/>
    <n v="125"/>
    <n v="43125"/>
    <n v="0"/>
    <n v="43125"/>
    <n v="41400"/>
    <n v="1725"/>
    <d v="2013-10-01T00:00:00"/>
    <b v="1"/>
    <n v="10"/>
    <x v="7"/>
    <s v="2013"/>
    <n v="0"/>
  </r>
  <r>
    <x v="1"/>
    <x v="4"/>
    <x v="1"/>
    <s v="None"/>
    <n v="615"/>
    <n v="5"/>
    <n v="15"/>
    <n v="9225"/>
    <n v="0"/>
    <n v="9225"/>
    <n v="6150"/>
    <n v="3075"/>
    <d v="2014-12-01T00:00:00"/>
    <b v="1"/>
    <n v="12"/>
    <x v="2"/>
    <s v="2014"/>
    <n v="0"/>
  </r>
  <r>
    <x v="0"/>
    <x v="0"/>
    <x v="2"/>
    <s v="None"/>
    <n v="292"/>
    <n v="10"/>
    <n v="20"/>
    <n v="5840"/>
    <n v="0"/>
    <n v="5840"/>
    <n v="2920"/>
    <n v="2920"/>
    <d v="2014-02-01T00:00:00"/>
    <b v="1"/>
    <n v="2"/>
    <x v="8"/>
    <s v="2014"/>
    <n v="0"/>
  </r>
  <r>
    <x v="1"/>
    <x v="3"/>
    <x v="2"/>
    <s v="None"/>
    <n v="974"/>
    <n v="10"/>
    <n v="15"/>
    <n v="14610"/>
    <n v="0"/>
    <n v="14610"/>
    <n v="9740"/>
    <n v="4870"/>
    <d v="2014-02-01T00:00:00"/>
    <b v="1"/>
    <n v="2"/>
    <x v="8"/>
    <s v="2014"/>
    <n v="0"/>
  </r>
  <r>
    <x v="2"/>
    <x v="0"/>
    <x v="2"/>
    <s v="None"/>
    <n v="2518"/>
    <n v="10"/>
    <n v="12"/>
    <n v="30216"/>
    <n v="0"/>
    <n v="30216"/>
    <n v="7554"/>
    <n v="22662"/>
    <d v="2014-06-01T00:00:00"/>
    <b v="1"/>
    <n v="6"/>
    <x v="1"/>
    <s v="2014"/>
    <n v="0"/>
  </r>
  <r>
    <x v="0"/>
    <x v="1"/>
    <x v="2"/>
    <s v="None"/>
    <n v="1006"/>
    <n v="10"/>
    <n v="350"/>
    <n v="352100"/>
    <n v="0"/>
    <n v="352100"/>
    <n v="261560"/>
    <n v="90540"/>
    <d v="2014-06-01T00:00:00"/>
    <b v="1"/>
    <n v="6"/>
    <x v="1"/>
    <s v="2014"/>
    <n v="0"/>
  </r>
  <r>
    <x v="2"/>
    <x v="1"/>
    <x v="2"/>
    <s v="None"/>
    <n v="367"/>
    <n v="10"/>
    <n v="12"/>
    <n v="4404"/>
    <n v="0"/>
    <n v="4404"/>
    <n v="1101"/>
    <n v="3303"/>
    <d v="2014-07-01T00:00:00"/>
    <b v="1"/>
    <n v="7"/>
    <x v="4"/>
    <s v="2014"/>
    <n v="0"/>
  </r>
  <r>
    <x v="0"/>
    <x v="3"/>
    <x v="2"/>
    <s v="None"/>
    <n v="883"/>
    <n v="10"/>
    <n v="7"/>
    <n v="6181"/>
    <n v="0"/>
    <n v="6181"/>
    <n v="4415"/>
    <n v="1766"/>
    <d v="2014-08-01T00:00:00"/>
    <b v="1"/>
    <n v="8"/>
    <x v="5"/>
    <s v="2014"/>
    <n v="0"/>
  </r>
  <r>
    <x v="1"/>
    <x v="2"/>
    <x v="2"/>
    <s v="None"/>
    <n v="549"/>
    <n v="10"/>
    <n v="15"/>
    <n v="8235"/>
    <n v="0"/>
    <n v="8235"/>
    <n v="5490"/>
    <n v="2745"/>
    <d v="2013-09-01T00:00:00"/>
    <b v="1"/>
    <n v="9"/>
    <x v="6"/>
    <s v="2013"/>
    <n v="0"/>
  </r>
  <r>
    <x v="4"/>
    <x v="3"/>
    <x v="2"/>
    <s v="None"/>
    <n v="788"/>
    <n v="10"/>
    <n v="300"/>
    <n v="236400"/>
    <n v="0"/>
    <n v="236400"/>
    <n v="197000"/>
    <n v="39400"/>
    <d v="2013-09-01T00:00:00"/>
    <b v="1"/>
    <n v="9"/>
    <x v="6"/>
    <s v="2013"/>
    <n v="0"/>
  </r>
  <r>
    <x v="1"/>
    <x v="3"/>
    <x v="2"/>
    <s v="None"/>
    <n v="2472"/>
    <n v="10"/>
    <n v="15"/>
    <n v="37080"/>
    <n v="0"/>
    <n v="37080"/>
    <n v="24720"/>
    <n v="12360"/>
    <d v="2014-09-01T00:00:00"/>
    <b v="1"/>
    <n v="9"/>
    <x v="6"/>
    <s v="2014"/>
    <n v="0"/>
  </r>
  <r>
    <x v="0"/>
    <x v="4"/>
    <x v="2"/>
    <s v="None"/>
    <n v="1143"/>
    <n v="10"/>
    <n v="7"/>
    <n v="8001"/>
    <n v="0"/>
    <n v="8001"/>
    <n v="5715"/>
    <n v="2286"/>
    <d v="2014-10-01T00:00:00"/>
    <b v="1"/>
    <n v="10"/>
    <x v="7"/>
    <s v="2014"/>
    <n v="0"/>
  </r>
  <r>
    <x v="0"/>
    <x v="0"/>
    <x v="2"/>
    <s v="None"/>
    <n v="1725"/>
    <n v="10"/>
    <n v="350"/>
    <n v="603750"/>
    <n v="0"/>
    <n v="603750"/>
    <n v="448500"/>
    <n v="155250"/>
    <d v="2013-11-01T00:00:00"/>
    <b v="1"/>
    <n v="11"/>
    <x v="9"/>
    <s v="2013"/>
    <n v="0"/>
  </r>
  <r>
    <x v="2"/>
    <x v="4"/>
    <x v="2"/>
    <s v="None"/>
    <n v="912"/>
    <n v="10"/>
    <n v="12"/>
    <n v="10944"/>
    <n v="0"/>
    <n v="10944"/>
    <n v="2736"/>
    <n v="8208"/>
    <d v="2013-11-01T00:00:00"/>
    <b v="1"/>
    <n v="11"/>
    <x v="9"/>
    <s v="2013"/>
    <n v="0"/>
  </r>
  <r>
    <x v="1"/>
    <x v="0"/>
    <x v="2"/>
    <s v="None"/>
    <n v="2152"/>
    <n v="10"/>
    <n v="15"/>
    <n v="32280"/>
    <n v="0"/>
    <n v="32280"/>
    <n v="21520"/>
    <n v="10760"/>
    <d v="2013-12-01T00:00:00"/>
    <b v="1"/>
    <n v="12"/>
    <x v="2"/>
    <s v="2013"/>
    <n v="0"/>
  </r>
  <r>
    <x v="0"/>
    <x v="0"/>
    <x v="2"/>
    <s v="None"/>
    <n v="1817"/>
    <n v="10"/>
    <n v="20"/>
    <n v="36340"/>
    <n v="0"/>
    <n v="36340"/>
    <n v="18170"/>
    <n v="18170"/>
    <d v="2014-12-01T00:00:00"/>
    <b v="1"/>
    <n v="12"/>
    <x v="2"/>
    <s v="2014"/>
    <n v="0"/>
  </r>
  <r>
    <x v="0"/>
    <x v="1"/>
    <x v="2"/>
    <s v="None"/>
    <n v="1513"/>
    <n v="10"/>
    <n v="350"/>
    <n v="529550"/>
    <n v="0"/>
    <n v="529550"/>
    <n v="393380"/>
    <n v="136170"/>
    <d v="2014-12-01T00:00:00"/>
    <b v="1"/>
    <n v="12"/>
    <x v="2"/>
    <s v="2014"/>
    <n v="0"/>
  </r>
  <r>
    <x v="0"/>
    <x v="3"/>
    <x v="3"/>
    <s v="None"/>
    <n v="1493"/>
    <n v="120"/>
    <n v="7"/>
    <n v="10451"/>
    <n v="0"/>
    <n v="10451"/>
    <n v="7465"/>
    <n v="2986"/>
    <d v="2014-01-01T00:00:00"/>
    <b v="1"/>
    <n v="1"/>
    <x v="0"/>
    <s v="2014"/>
    <n v="0"/>
  </r>
  <r>
    <x v="3"/>
    <x v="2"/>
    <x v="3"/>
    <s v="None"/>
    <n v="1804"/>
    <n v="120"/>
    <n v="125"/>
    <n v="225500"/>
    <n v="0"/>
    <n v="225500"/>
    <n v="216480"/>
    <n v="9020"/>
    <d v="2014-02-01T00:00:00"/>
    <b v="1"/>
    <n v="2"/>
    <x v="8"/>
    <s v="2014"/>
    <n v="0"/>
  </r>
  <r>
    <x v="2"/>
    <x v="1"/>
    <x v="3"/>
    <s v="None"/>
    <n v="2161"/>
    <n v="120"/>
    <n v="12"/>
    <n v="25932"/>
    <n v="0"/>
    <n v="25932"/>
    <n v="6483"/>
    <n v="19449"/>
    <d v="2014-03-01T00:00:00"/>
    <b v="1"/>
    <n v="3"/>
    <x v="3"/>
    <s v="2014"/>
    <n v="0"/>
  </r>
  <r>
    <x v="0"/>
    <x v="1"/>
    <x v="3"/>
    <s v="None"/>
    <n v="1006"/>
    <n v="120"/>
    <n v="350"/>
    <n v="352100"/>
    <n v="0"/>
    <n v="352100"/>
    <n v="261560"/>
    <n v="90540"/>
    <d v="2014-06-01T00:00:00"/>
    <b v="1"/>
    <n v="6"/>
    <x v="1"/>
    <s v="2014"/>
    <n v="0"/>
  </r>
  <r>
    <x v="2"/>
    <x v="1"/>
    <x v="3"/>
    <s v="None"/>
    <n v="1545"/>
    <n v="120"/>
    <n v="12"/>
    <n v="18540"/>
    <n v="0"/>
    <n v="18540"/>
    <n v="4635"/>
    <n v="13905"/>
    <d v="2014-06-01T00:00:00"/>
    <b v="1"/>
    <n v="6"/>
    <x v="1"/>
    <s v="2014"/>
    <n v="0"/>
  </r>
  <r>
    <x v="3"/>
    <x v="4"/>
    <x v="3"/>
    <s v="None"/>
    <n v="2821"/>
    <n v="120"/>
    <n v="125"/>
    <n v="352625"/>
    <n v="0"/>
    <n v="352625"/>
    <n v="338520"/>
    <n v="14105"/>
    <d v="2014-08-01T00:00:00"/>
    <b v="1"/>
    <n v="8"/>
    <x v="5"/>
    <s v="2014"/>
    <n v="0"/>
  </r>
  <r>
    <x v="3"/>
    <x v="0"/>
    <x v="3"/>
    <s v="None"/>
    <n v="345"/>
    <n v="120"/>
    <n v="125"/>
    <n v="43125"/>
    <n v="0"/>
    <n v="43125"/>
    <n v="41400"/>
    <n v="1725"/>
    <d v="2013-10-01T00:00:00"/>
    <b v="1"/>
    <n v="10"/>
    <x v="7"/>
    <s v="2013"/>
    <n v="0"/>
  </r>
  <r>
    <x v="4"/>
    <x v="0"/>
    <x v="4"/>
    <s v="None"/>
    <n v="2001"/>
    <n v="250"/>
    <n v="300"/>
    <n v="600300"/>
    <n v="0"/>
    <n v="600300"/>
    <n v="500250"/>
    <n v="100050"/>
    <d v="2014-02-01T00:00:00"/>
    <b v="1"/>
    <n v="2"/>
    <x v="8"/>
    <s v="2014"/>
    <n v="0"/>
  </r>
  <r>
    <x v="2"/>
    <x v="1"/>
    <x v="4"/>
    <s v="None"/>
    <n v="2838"/>
    <n v="250"/>
    <n v="12"/>
    <n v="34056"/>
    <n v="0"/>
    <n v="34056"/>
    <n v="8514"/>
    <n v="25542"/>
    <d v="2014-04-01T00:00:00"/>
    <b v="1"/>
    <n v="4"/>
    <x v="10"/>
    <s v="2014"/>
    <n v="0"/>
  </r>
  <r>
    <x v="1"/>
    <x v="2"/>
    <x v="4"/>
    <s v="None"/>
    <n v="2178"/>
    <n v="250"/>
    <n v="15"/>
    <n v="32670"/>
    <n v="0"/>
    <n v="32670"/>
    <n v="21780"/>
    <n v="10890"/>
    <d v="2014-06-01T00:00:00"/>
    <b v="1"/>
    <n v="6"/>
    <x v="1"/>
    <s v="2014"/>
    <n v="0"/>
  </r>
  <r>
    <x v="1"/>
    <x v="1"/>
    <x v="4"/>
    <s v="None"/>
    <n v="888"/>
    <n v="250"/>
    <n v="15"/>
    <n v="13320"/>
    <n v="0"/>
    <n v="13320"/>
    <n v="8880"/>
    <n v="4440"/>
    <d v="2014-06-01T00:00:00"/>
    <b v="1"/>
    <n v="6"/>
    <x v="1"/>
    <s v="2014"/>
    <n v="0"/>
  </r>
  <r>
    <x v="0"/>
    <x v="2"/>
    <x v="4"/>
    <s v="None"/>
    <n v="1527"/>
    <n v="250"/>
    <n v="350"/>
    <n v="534450"/>
    <n v="0"/>
    <n v="534450"/>
    <n v="397020"/>
    <n v="137430"/>
    <d v="2013-09-01T00:00:00"/>
    <b v="1"/>
    <n v="9"/>
    <x v="6"/>
    <s v="2013"/>
    <n v="0"/>
  </r>
  <r>
    <x v="4"/>
    <x v="2"/>
    <x v="4"/>
    <s v="None"/>
    <n v="2151"/>
    <n v="250"/>
    <n v="300"/>
    <n v="645300"/>
    <n v="0"/>
    <n v="645300"/>
    <n v="537750"/>
    <n v="107550"/>
    <d v="2014-09-01T00:00:00"/>
    <b v="1"/>
    <n v="9"/>
    <x v="6"/>
    <s v="2014"/>
    <n v="0"/>
  </r>
  <r>
    <x v="0"/>
    <x v="0"/>
    <x v="4"/>
    <s v="None"/>
    <n v="1817"/>
    <n v="250"/>
    <n v="20"/>
    <n v="36340"/>
    <n v="0"/>
    <n v="36340"/>
    <n v="18170"/>
    <n v="18170"/>
    <d v="2014-12-01T00:00:00"/>
    <b v="1"/>
    <n v="12"/>
    <x v="2"/>
    <s v="2014"/>
    <n v="0"/>
  </r>
  <r>
    <x v="0"/>
    <x v="2"/>
    <x v="5"/>
    <s v="None"/>
    <n v="2750"/>
    <n v="260"/>
    <n v="350"/>
    <n v="962500"/>
    <n v="0"/>
    <n v="962500"/>
    <n v="715000"/>
    <n v="247500"/>
    <d v="2014-02-01T00:00:00"/>
    <b v="1"/>
    <n v="2"/>
    <x v="8"/>
    <s v="2014"/>
    <n v="0"/>
  </r>
  <r>
    <x v="2"/>
    <x v="4"/>
    <x v="5"/>
    <s v="None"/>
    <n v="1953"/>
    <n v="260"/>
    <n v="12"/>
    <n v="23436"/>
    <n v="0"/>
    <n v="23436"/>
    <n v="5859"/>
    <n v="17577"/>
    <d v="2014-04-01T00:00:00"/>
    <b v="1"/>
    <n v="4"/>
    <x v="10"/>
    <s v="2014"/>
    <n v="0"/>
  </r>
  <r>
    <x v="3"/>
    <x v="1"/>
    <x v="5"/>
    <s v="None"/>
    <n v="4219.5"/>
    <n v="260"/>
    <n v="125"/>
    <n v="527437.5"/>
    <n v="0"/>
    <n v="527437.5"/>
    <n v="506340"/>
    <n v="21097.5"/>
    <d v="2014-04-01T00:00:00"/>
    <b v="1"/>
    <n v="4"/>
    <x v="10"/>
    <s v="2014"/>
    <n v="0"/>
  </r>
  <r>
    <x v="0"/>
    <x v="2"/>
    <x v="5"/>
    <s v="None"/>
    <n v="1899"/>
    <n v="260"/>
    <n v="20"/>
    <n v="37980"/>
    <n v="0"/>
    <n v="37980"/>
    <n v="18990"/>
    <n v="18990"/>
    <d v="2014-06-01T00:00:00"/>
    <b v="1"/>
    <n v="6"/>
    <x v="1"/>
    <s v="2014"/>
    <n v="0"/>
  </r>
  <r>
    <x v="0"/>
    <x v="1"/>
    <x v="5"/>
    <s v="None"/>
    <n v="1686"/>
    <n v="260"/>
    <n v="7"/>
    <n v="11802"/>
    <n v="0"/>
    <n v="11802"/>
    <n v="8430"/>
    <n v="3372"/>
    <d v="2014-07-01T00:00:00"/>
    <b v="1"/>
    <n v="7"/>
    <x v="4"/>
    <s v="2014"/>
    <n v="0"/>
  </r>
  <r>
    <x v="2"/>
    <x v="4"/>
    <x v="5"/>
    <s v="None"/>
    <n v="2141"/>
    <n v="260"/>
    <n v="12"/>
    <n v="25692"/>
    <n v="0"/>
    <n v="25692"/>
    <n v="6423"/>
    <n v="19269"/>
    <d v="2014-08-01T00:00:00"/>
    <b v="1"/>
    <n v="8"/>
    <x v="5"/>
    <s v="2014"/>
    <n v="0"/>
  </r>
  <r>
    <x v="0"/>
    <x v="4"/>
    <x v="5"/>
    <s v="None"/>
    <n v="1143"/>
    <n v="260"/>
    <n v="7"/>
    <n v="8001"/>
    <n v="0"/>
    <n v="8001"/>
    <n v="5715"/>
    <n v="2286"/>
    <d v="2014-10-01T00:00:00"/>
    <b v="1"/>
    <n v="10"/>
    <x v="7"/>
    <s v="2014"/>
    <n v="0"/>
  </r>
  <r>
    <x v="1"/>
    <x v="4"/>
    <x v="5"/>
    <s v="None"/>
    <n v="615"/>
    <n v="260"/>
    <n v="15"/>
    <n v="9225"/>
    <n v="0"/>
    <n v="9225"/>
    <n v="6150"/>
    <n v="3075"/>
    <d v="2014-12-01T00:00:00"/>
    <b v="1"/>
    <n v="12"/>
    <x v="2"/>
    <s v="2014"/>
    <n v="0"/>
  </r>
  <r>
    <x v="0"/>
    <x v="2"/>
    <x v="2"/>
    <s v="Low"/>
    <n v="3945"/>
    <n v="10"/>
    <n v="7"/>
    <n v="27615"/>
    <n v="276.14999999999998"/>
    <n v="27338.850000000002"/>
    <n v="19725"/>
    <n v="7613.8500000000022"/>
    <d v="2014-01-01T00:00:00"/>
    <b v="1"/>
    <n v="1"/>
    <x v="0"/>
    <s v="2014"/>
    <n v="0"/>
  </r>
  <r>
    <x v="1"/>
    <x v="2"/>
    <x v="2"/>
    <s v="Low"/>
    <n v="2296"/>
    <n v="10"/>
    <n v="15"/>
    <n v="34440"/>
    <n v="344.4"/>
    <n v="34095.599999999999"/>
    <n v="22960"/>
    <n v="11135.599999999999"/>
    <d v="2014-02-01T00:00:00"/>
    <b v="1"/>
    <n v="2"/>
    <x v="8"/>
    <s v="2014"/>
    <n v="0"/>
  </r>
  <r>
    <x v="0"/>
    <x v="2"/>
    <x v="2"/>
    <s v="Low"/>
    <n v="1030"/>
    <n v="10"/>
    <n v="7"/>
    <n v="7210"/>
    <n v="72.099999999999994"/>
    <n v="7137.9"/>
    <n v="5150"/>
    <n v="1987.8999999999996"/>
    <d v="2014-05-01T00:00:00"/>
    <b v="1"/>
    <n v="5"/>
    <x v="11"/>
    <s v="2014"/>
    <n v="0"/>
  </r>
  <r>
    <x v="0"/>
    <x v="2"/>
    <x v="3"/>
    <s v="Low"/>
    <n v="639"/>
    <n v="120"/>
    <n v="7"/>
    <n v="4473"/>
    <n v="44.73"/>
    <n v="4428.2700000000004"/>
    <n v="3195"/>
    <n v="1233.2700000000004"/>
    <d v="2014-11-01T00:00:00"/>
    <b v="1"/>
    <n v="11"/>
    <x v="9"/>
    <s v="2014"/>
    <n v="0"/>
  </r>
  <r>
    <x v="0"/>
    <x v="0"/>
    <x v="4"/>
    <s v="Low"/>
    <n v="1326"/>
    <n v="250"/>
    <n v="7"/>
    <n v="9282"/>
    <n v="92.82"/>
    <n v="9189.18"/>
    <n v="6630"/>
    <n v="2559.1800000000003"/>
    <d v="2014-03-01T00:00:00"/>
    <b v="1"/>
    <n v="3"/>
    <x v="3"/>
    <s v="2014"/>
    <n v="0"/>
  </r>
  <r>
    <x v="2"/>
    <x v="4"/>
    <x v="0"/>
    <s v="Low"/>
    <n v="1858"/>
    <n v="3"/>
    <n v="12"/>
    <n v="22296"/>
    <n v="222.96"/>
    <n v="22073.040000000001"/>
    <n v="5574"/>
    <n v="16499.04"/>
    <d v="2014-02-01T00:00:00"/>
    <b v="1"/>
    <n v="2"/>
    <x v="8"/>
    <s v="2014"/>
    <n v="0"/>
  </r>
  <r>
    <x v="0"/>
    <x v="3"/>
    <x v="0"/>
    <s v="Low"/>
    <n v="1210"/>
    <n v="3"/>
    <n v="350"/>
    <n v="423500"/>
    <n v="4235"/>
    <n v="419265"/>
    <n v="314600"/>
    <n v="104665"/>
    <d v="2014-03-01T00:00:00"/>
    <b v="1"/>
    <n v="3"/>
    <x v="3"/>
    <s v="2014"/>
    <n v="0"/>
  </r>
  <r>
    <x v="0"/>
    <x v="4"/>
    <x v="0"/>
    <s v="Low"/>
    <n v="2529"/>
    <n v="3"/>
    <n v="7"/>
    <n v="17703"/>
    <n v="177.03"/>
    <n v="17525.97"/>
    <n v="12645"/>
    <n v="4880.9699999999993"/>
    <d v="2014-07-01T00:00:00"/>
    <b v="1"/>
    <n v="7"/>
    <x v="4"/>
    <s v="2014"/>
    <n v="0"/>
  </r>
  <r>
    <x v="2"/>
    <x v="0"/>
    <x v="0"/>
    <s v="Low"/>
    <n v="1445"/>
    <n v="3"/>
    <n v="12"/>
    <n v="17340"/>
    <n v="173.4"/>
    <n v="17166.599999999999"/>
    <n v="4335"/>
    <n v="12831.599999999999"/>
    <d v="2014-09-01T00:00:00"/>
    <b v="1"/>
    <n v="9"/>
    <x v="6"/>
    <s v="2014"/>
    <n v="0"/>
  </r>
  <r>
    <x v="3"/>
    <x v="4"/>
    <x v="0"/>
    <s v="Low"/>
    <n v="330"/>
    <n v="3"/>
    <n v="125"/>
    <n v="41250"/>
    <n v="412.5"/>
    <n v="40837.5"/>
    <n v="39600"/>
    <n v="1237.5"/>
    <d v="2013-09-01T00:00:00"/>
    <b v="1"/>
    <n v="9"/>
    <x v="6"/>
    <s v="2013"/>
    <n v="0"/>
  </r>
  <r>
    <x v="2"/>
    <x v="2"/>
    <x v="0"/>
    <s v="Low"/>
    <n v="2671"/>
    <n v="3"/>
    <n v="12"/>
    <n v="32052"/>
    <n v="320.52"/>
    <n v="31731.48"/>
    <n v="8013"/>
    <n v="23718.48"/>
    <d v="2014-09-01T00:00:00"/>
    <b v="1"/>
    <n v="9"/>
    <x v="6"/>
    <s v="2014"/>
    <n v="0"/>
  </r>
  <r>
    <x v="2"/>
    <x v="1"/>
    <x v="0"/>
    <s v="Low"/>
    <n v="766"/>
    <n v="3"/>
    <n v="12"/>
    <n v="9192"/>
    <n v="91.92"/>
    <n v="9100.08"/>
    <n v="2298"/>
    <n v="6802.08"/>
    <d v="2013-10-01T00:00:00"/>
    <b v="1"/>
    <n v="10"/>
    <x v="7"/>
    <s v="2013"/>
    <n v="0"/>
  </r>
  <r>
    <x v="4"/>
    <x v="3"/>
    <x v="0"/>
    <s v="Low"/>
    <n v="494"/>
    <n v="3"/>
    <n v="300"/>
    <n v="148200"/>
    <n v="1482"/>
    <n v="146718"/>
    <n v="123500"/>
    <n v="23218"/>
    <d v="2013-10-01T00:00:00"/>
    <b v="1"/>
    <n v="10"/>
    <x v="7"/>
    <s v="2013"/>
    <n v="0"/>
  </r>
  <r>
    <x v="0"/>
    <x v="3"/>
    <x v="0"/>
    <s v="Low"/>
    <n v="1397"/>
    <n v="3"/>
    <n v="350"/>
    <n v="488950"/>
    <n v="4889.5"/>
    <n v="484060.5"/>
    <n v="363220"/>
    <n v="120840.5"/>
    <d v="2014-10-01T00:00:00"/>
    <b v="1"/>
    <n v="10"/>
    <x v="7"/>
    <s v="2014"/>
    <n v="0"/>
  </r>
  <r>
    <x v="0"/>
    <x v="2"/>
    <x v="0"/>
    <s v="Low"/>
    <n v="2155"/>
    <n v="3"/>
    <n v="350"/>
    <n v="754250"/>
    <n v="7542.5"/>
    <n v="746707.5"/>
    <n v="560300"/>
    <n v="186407.5"/>
    <d v="2014-12-01T00:00:00"/>
    <b v="1"/>
    <n v="12"/>
    <x v="2"/>
    <s v="2014"/>
    <n v="0"/>
  </r>
  <r>
    <x v="1"/>
    <x v="3"/>
    <x v="1"/>
    <s v="Low"/>
    <n v="2214"/>
    <n v="5"/>
    <n v="15"/>
    <n v="33210"/>
    <n v="332.1"/>
    <n v="32877.9"/>
    <n v="22140"/>
    <n v="10737.900000000001"/>
    <d v="2014-03-01T00:00:00"/>
    <b v="1"/>
    <n v="3"/>
    <x v="3"/>
    <s v="2014"/>
    <n v="0"/>
  </r>
  <r>
    <x v="4"/>
    <x v="4"/>
    <x v="1"/>
    <s v="Low"/>
    <n v="2301"/>
    <n v="5"/>
    <n v="300"/>
    <n v="690300"/>
    <n v="6903"/>
    <n v="683397"/>
    <n v="575250"/>
    <n v="108147"/>
    <d v="2014-04-01T00:00:00"/>
    <b v="1"/>
    <n v="4"/>
    <x v="10"/>
    <s v="2014"/>
    <n v="0"/>
  </r>
  <r>
    <x v="0"/>
    <x v="2"/>
    <x v="1"/>
    <s v="Low"/>
    <n v="1375.5"/>
    <n v="5"/>
    <n v="20"/>
    <n v="27510"/>
    <n v="275.10000000000002"/>
    <n v="27234.899999999998"/>
    <n v="13755"/>
    <n v="13479.899999999998"/>
    <d v="2014-07-01T00:00:00"/>
    <b v="1"/>
    <n v="7"/>
    <x v="4"/>
    <s v="2014"/>
    <n v="0"/>
  </r>
  <r>
    <x v="0"/>
    <x v="0"/>
    <x v="1"/>
    <s v="Low"/>
    <n v="1830"/>
    <n v="5"/>
    <n v="7"/>
    <n v="12810"/>
    <n v="128.1"/>
    <n v="12681.9"/>
    <n v="9150"/>
    <n v="3531.8999999999996"/>
    <d v="2014-08-01T00:00:00"/>
    <b v="1"/>
    <n v="8"/>
    <x v="5"/>
    <s v="2014"/>
    <n v="0"/>
  </r>
  <r>
    <x v="4"/>
    <x v="4"/>
    <x v="1"/>
    <s v="Low"/>
    <n v="2498"/>
    <n v="5"/>
    <n v="300"/>
    <n v="749400"/>
    <n v="7494"/>
    <n v="741906"/>
    <n v="624500"/>
    <n v="117406"/>
    <d v="2013-09-01T00:00:00"/>
    <b v="1"/>
    <n v="9"/>
    <x v="6"/>
    <s v="2013"/>
    <n v="0"/>
  </r>
  <r>
    <x v="3"/>
    <x v="4"/>
    <x v="1"/>
    <s v="Low"/>
    <n v="663"/>
    <n v="5"/>
    <n v="125"/>
    <n v="82875"/>
    <n v="828.75"/>
    <n v="82046.25"/>
    <n v="79560"/>
    <n v="2486.25"/>
    <d v="2013-10-01T00:00:00"/>
    <b v="1"/>
    <n v="10"/>
    <x v="7"/>
    <s v="2013"/>
    <n v="0"/>
  </r>
  <r>
    <x v="1"/>
    <x v="4"/>
    <x v="2"/>
    <s v="Low"/>
    <n v="1514"/>
    <n v="10"/>
    <n v="15"/>
    <n v="22710"/>
    <n v="227.1"/>
    <n v="22482.9"/>
    <n v="15140"/>
    <n v="7342.9000000000015"/>
    <d v="2014-02-01T00:00:00"/>
    <b v="1"/>
    <n v="2"/>
    <x v="8"/>
    <s v="2014"/>
    <n v="0"/>
  </r>
  <r>
    <x v="0"/>
    <x v="4"/>
    <x v="2"/>
    <s v="Low"/>
    <n v="4492.5"/>
    <n v="10"/>
    <n v="7"/>
    <n v="31447.5"/>
    <n v="314.47500000000002"/>
    <n v="31133.024999999998"/>
    <n v="22462.5"/>
    <n v="8670.5249999999978"/>
    <d v="2014-04-01T00:00:00"/>
    <b v="1"/>
    <n v="4"/>
    <x v="10"/>
    <s v="2014"/>
    <n v="0"/>
  </r>
  <r>
    <x v="3"/>
    <x v="4"/>
    <x v="2"/>
    <s v="Low"/>
    <n v="727"/>
    <n v="10"/>
    <n v="125"/>
    <n v="90875"/>
    <n v="908.75"/>
    <n v="89966.25"/>
    <n v="87240"/>
    <n v="2726.25"/>
    <d v="2014-06-01T00:00:00"/>
    <b v="1"/>
    <n v="6"/>
    <x v="1"/>
    <s v="2014"/>
    <n v="0"/>
  </r>
  <r>
    <x v="3"/>
    <x v="2"/>
    <x v="2"/>
    <s v="Low"/>
    <n v="787"/>
    <n v="10"/>
    <n v="125"/>
    <n v="98375"/>
    <n v="983.75"/>
    <n v="97391.25"/>
    <n v="94440"/>
    <n v="2951.25"/>
    <d v="2014-06-01T00:00:00"/>
    <b v="1"/>
    <n v="6"/>
    <x v="1"/>
    <s v="2014"/>
    <n v="0"/>
  </r>
  <r>
    <x v="3"/>
    <x v="3"/>
    <x v="2"/>
    <s v="Low"/>
    <n v="1823"/>
    <n v="10"/>
    <n v="125"/>
    <n v="227875"/>
    <n v="2278.75"/>
    <n v="225596.25"/>
    <n v="218760"/>
    <n v="6836.25"/>
    <d v="2014-07-01T00:00:00"/>
    <b v="1"/>
    <n v="7"/>
    <x v="4"/>
    <s v="2014"/>
    <n v="0"/>
  </r>
  <r>
    <x v="1"/>
    <x v="1"/>
    <x v="2"/>
    <s v="Low"/>
    <n v="747"/>
    <n v="10"/>
    <n v="15"/>
    <n v="11205"/>
    <n v="112.05"/>
    <n v="11092.95"/>
    <n v="7470"/>
    <n v="3622.9500000000007"/>
    <d v="2014-09-01T00:00:00"/>
    <b v="1"/>
    <n v="9"/>
    <x v="6"/>
    <s v="2014"/>
    <n v="0"/>
  </r>
  <r>
    <x v="2"/>
    <x v="1"/>
    <x v="2"/>
    <s v="Low"/>
    <n v="766"/>
    <n v="10"/>
    <n v="12"/>
    <n v="9192"/>
    <n v="91.92"/>
    <n v="9100.08"/>
    <n v="2298"/>
    <n v="6802.08"/>
    <d v="2013-10-01T00:00:00"/>
    <b v="1"/>
    <n v="10"/>
    <x v="7"/>
    <s v="2013"/>
    <n v="0"/>
  </r>
  <r>
    <x v="4"/>
    <x v="4"/>
    <x v="2"/>
    <s v="Low"/>
    <n v="2905"/>
    <n v="10"/>
    <n v="300"/>
    <n v="871500"/>
    <n v="8715"/>
    <n v="862785"/>
    <n v="726250"/>
    <n v="136535"/>
    <d v="2014-11-01T00:00:00"/>
    <b v="1"/>
    <n v="11"/>
    <x v="9"/>
    <s v="2014"/>
    <n v="0"/>
  </r>
  <r>
    <x v="0"/>
    <x v="2"/>
    <x v="2"/>
    <s v="Low"/>
    <n v="2155"/>
    <n v="10"/>
    <n v="350"/>
    <n v="754250"/>
    <n v="7542.5"/>
    <n v="746707.5"/>
    <n v="560300"/>
    <n v="186407.5"/>
    <d v="2014-12-01T00:00:00"/>
    <b v="1"/>
    <n v="12"/>
    <x v="2"/>
    <s v="2014"/>
    <n v="0"/>
  </r>
  <r>
    <x v="0"/>
    <x v="2"/>
    <x v="3"/>
    <s v="Low"/>
    <n v="3864"/>
    <n v="120"/>
    <n v="20"/>
    <n v="77280"/>
    <n v="772.80000000000007"/>
    <n v="76507.200000000012"/>
    <n v="38640"/>
    <n v="37867.200000000004"/>
    <d v="2014-04-01T00:00:00"/>
    <b v="1"/>
    <n v="4"/>
    <x v="10"/>
    <s v="2014"/>
    <n v="0"/>
  </r>
  <r>
    <x v="0"/>
    <x v="3"/>
    <x v="3"/>
    <s v="Low"/>
    <n v="362"/>
    <n v="120"/>
    <n v="7"/>
    <n v="2534"/>
    <n v="25.34"/>
    <n v="2508.66"/>
    <n v="1810"/>
    <n v="698.65999999999985"/>
    <d v="2014-05-01T00:00:00"/>
    <b v="1"/>
    <n v="5"/>
    <x v="11"/>
    <s v="2014"/>
    <n v="0"/>
  </r>
  <r>
    <x v="3"/>
    <x v="0"/>
    <x v="3"/>
    <s v="Low"/>
    <n v="923"/>
    <n v="120"/>
    <n v="125"/>
    <n v="115375"/>
    <n v="1153.75"/>
    <n v="114221.25"/>
    <n v="110760"/>
    <n v="3461.25"/>
    <d v="2014-08-01T00:00:00"/>
    <b v="1"/>
    <n v="8"/>
    <x v="5"/>
    <s v="2014"/>
    <n v="0"/>
  </r>
  <r>
    <x v="3"/>
    <x v="4"/>
    <x v="3"/>
    <s v="Low"/>
    <n v="663"/>
    <n v="120"/>
    <n v="125"/>
    <n v="82875"/>
    <n v="828.75"/>
    <n v="82046.25"/>
    <n v="79560"/>
    <n v="2486.25"/>
    <d v="2013-10-01T00:00:00"/>
    <b v="1"/>
    <n v="10"/>
    <x v="7"/>
    <s v="2013"/>
    <n v="0"/>
  </r>
  <r>
    <x v="0"/>
    <x v="0"/>
    <x v="3"/>
    <s v="Low"/>
    <n v="2092"/>
    <n v="120"/>
    <n v="7"/>
    <n v="14644"/>
    <n v="146.44"/>
    <n v="14497.56"/>
    <n v="10460"/>
    <n v="4037.5599999999995"/>
    <d v="2013-11-01T00:00:00"/>
    <b v="1"/>
    <n v="11"/>
    <x v="9"/>
    <s v="2013"/>
    <n v="0"/>
  </r>
  <r>
    <x v="0"/>
    <x v="1"/>
    <x v="4"/>
    <s v="Low"/>
    <n v="263"/>
    <n v="250"/>
    <n v="7"/>
    <n v="1841"/>
    <n v="18.41"/>
    <n v="1822.59"/>
    <n v="1315"/>
    <n v="507.58999999999992"/>
    <d v="2014-03-01T00:00:00"/>
    <b v="1"/>
    <n v="3"/>
    <x v="3"/>
    <s v="2014"/>
    <n v="0"/>
  </r>
  <r>
    <x v="0"/>
    <x v="0"/>
    <x v="4"/>
    <s v="Low"/>
    <n v="943.5"/>
    <n v="250"/>
    <n v="350"/>
    <n v="330225"/>
    <n v="3302.25"/>
    <n v="326922.75"/>
    <n v="245310"/>
    <n v="81612.75"/>
    <d v="2014-04-01T00:00:00"/>
    <b v="1"/>
    <n v="4"/>
    <x v="10"/>
    <s v="2014"/>
    <n v="0"/>
  </r>
  <r>
    <x v="3"/>
    <x v="4"/>
    <x v="4"/>
    <s v="Low"/>
    <n v="727"/>
    <n v="250"/>
    <n v="125"/>
    <n v="90875"/>
    <n v="908.75"/>
    <n v="89966.25"/>
    <n v="87240"/>
    <n v="2726.25"/>
    <d v="2014-06-01T00:00:00"/>
    <b v="1"/>
    <n v="6"/>
    <x v="1"/>
    <s v="2014"/>
    <n v="0"/>
  </r>
  <r>
    <x v="3"/>
    <x v="2"/>
    <x v="4"/>
    <s v="Low"/>
    <n v="787"/>
    <n v="250"/>
    <n v="125"/>
    <n v="98375"/>
    <n v="983.75"/>
    <n v="97391.25"/>
    <n v="94440"/>
    <n v="2951.25"/>
    <d v="2014-06-01T00:00:00"/>
    <b v="1"/>
    <n v="6"/>
    <x v="1"/>
    <s v="2014"/>
    <n v="0"/>
  </r>
  <r>
    <x v="4"/>
    <x v="1"/>
    <x v="4"/>
    <s v="Low"/>
    <n v="986"/>
    <n v="250"/>
    <n v="300"/>
    <n v="295800"/>
    <n v="2958"/>
    <n v="292842"/>
    <n v="246500"/>
    <n v="46342"/>
    <d v="2014-09-01T00:00:00"/>
    <b v="1"/>
    <n v="9"/>
    <x v="6"/>
    <s v="2014"/>
    <n v="0"/>
  </r>
  <r>
    <x v="4"/>
    <x v="3"/>
    <x v="4"/>
    <s v="Low"/>
    <n v="494"/>
    <n v="250"/>
    <n v="300"/>
    <n v="148200"/>
    <n v="1482"/>
    <n v="146718"/>
    <n v="123500"/>
    <n v="23218"/>
    <d v="2013-10-01T00:00:00"/>
    <b v="1"/>
    <n v="10"/>
    <x v="7"/>
    <s v="2013"/>
    <n v="0"/>
  </r>
  <r>
    <x v="0"/>
    <x v="3"/>
    <x v="4"/>
    <s v="Low"/>
    <n v="1397"/>
    <n v="250"/>
    <n v="350"/>
    <n v="488950"/>
    <n v="4889.5"/>
    <n v="484060.5"/>
    <n v="363220"/>
    <n v="120840.5"/>
    <d v="2014-10-01T00:00:00"/>
    <b v="1"/>
    <n v="10"/>
    <x v="7"/>
    <s v="2014"/>
    <n v="0"/>
  </r>
  <r>
    <x v="3"/>
    <x v="2"/>
    <x v="4"/>
    <s v="Low"/>
    <n v="1744"/>
    <n v="250"/>
    <n v="125"/>
    <n v="218000"/>
    <n v="2180"/>
    <n v="215820"/>
    <n v="209280"/>
    <n v="6540"/>
    <d v="2014-11-01T00:00:00"/>
    <b v="1"/>
    <n v="11"/>
    <x v="9"/>
    <s v="2014"/>
    <n v="0"/>
  </r>
  <r>
    <x v="2"/>
    <x v="4"/>
    <x v="5"/>
    <s v="Low"/>
    <n v="1989"/>
    <n v="260"/>
    <n v="12"/>
    <n v="23868"/>
    <n v="238.68"/>
    <n v="23629.32"/>
    <n v="5967"/>
    <n v="17662.32"/>
    <d v="2013-09-01T00:00:00"/>
    <b v="1"/>
    <n v="9"/>
    <x v="6"/>
    <s v="2013"/>
    <n v="0"/>
  </r>
  <r>
    <x v="1"/>
    <x v="2"/>
    <x v="5"/>
    <s v="Low"/>
    <n v="321"/>
    <n v="260"/>
    <n v="15"/>
    <n v="4815"/>
    <n v="48.15"/>
    <n v="4766.8500000000004"/>
    <n v="3210"/>
    <n v="1556.8500000000004"/>
    <d v="2013-11-01T00:00:00"/>
    <b v="1"/>
    <n v="11"/>
    <x v="9"/>
    <s v="2013"/>
    <n v="0"/>
  </r>
  <r>
    <x v="3"/>
    <x v="0"/>
    <x v="0"/>
    <s v="Low"/>
    <n v="742.5"/>
    <n v="3"/>
    <n v="125"/>
    <n v="92812.5"/>
    <n v="1856.25"/>
    <n v="90956.25"/>
    <n v="89100"/>
    <n v="1856.25"/>
    <d v="2014-04-01T00:00:00"/>
    <b v="1"/>
    <n v="4"/>
    <x v="10"/>
    <s v="2014"/>
    <n v="0"/>
  </r>
  <r>
    <x v="2"/>
    <x v="0"/>
    <x v="0"/>
    <s v="Low"/>
    <n v="1295"/>
    <n v="3"/>
    <n v="12"/>
    <n v="15540"/>
    <n v="310.8"/>
    <n v="15229.2"/>
    <n v="3885"/>
    <n v="11344.2"/>
    <d v="2014-10-01T00:00:00"/>
    <b v="1"/>
    <n v="10"/>
    <x v="7"/>
    <s v="2014"/>
    <n v="0"/>
  </r>
  <r>
    <x v="4"/>
    <x v="1"/>
    <x v="0"/>
    <s v="Low"/>
    <n v="214"/>
    <n v="3"/>
    <n v="300"/>
    <n v="64200"/>
    <n v="1284"/>
    <n v="62916"/>
    <n v="53500"/>
    <n v="9416"/>
    <d v="2013-10-01T00:00:00"/>
    <b v="1"/>
    <n v="10"/>
    <x v="7"/>
    <s v="2013"/>
    <n v="0"/>
  </r>
  <r>
    <x v="0"/>
    <x v="2"/>
    <x v="0"/>
    <s v="Low"/>
    <n v="2145"/>
    <n v="3"/>
    <n v="7"/>
    <n v="15015"/>
    <n v="300.3"/>
    <n v="14714.7"/>
    <n v="10725"/>
    <n v="3989.7000000000007"/>
    <d v="2013-11-01T00:00:00"/>
    <b v="1"/>
    <n v="11"/>
    <x v="9"/>
    <s v="2013"/>
    <n v="0"/>
  </r>
  <r>
    <x v="0"/>
    <x v="0"/>
    <x v="0"/>
    <s v="Low"/>
    <n v="2852"/>
    <n v="3"/>
    <n v="350"/>
    <n v="998200"/>
    <n v="19964"/>
    <n v="978236"/>
    <n v="741520"/>
    <n v="236716"/>
    <d v="2014-12-01T00:00:00"/>
    <b v="1"/>
    <n v="12"/>
    <x v="2"/>
    <s v="2014"/>
    <n v="0"/>
  </r>
  <r>
    <x v="2"/>
    <x v="4"/>
    <x v="1"/>
    <s v="Low"/>
    <n v="1142"/>
    <n v="5"/>
    <n v="12"/>
    <n v="13704"/>
    <n v="274.08"/>
    <n v="13429.92"/>
    <n v="3426"/>
    <n v="10003.92"/>
    <d v="2014-06-01T00:00:00"/>
    <b v="1"/>
    <n v="6"/>
    <x v="1"/>
    <s v="2014"/>
    <n v="0"/>
  </r>
  <r>
    <x v="0"/>
    <x v="4"/>
    <x v="1"/>
    <s v="Low"/>
    <n v="1566"/>
    <n v="5"/>
    <n v="20"/>
    <n v="31320"/>
    <n v="626.4"/>
    <n v="30693.599999999999"/>
    <n v="15660"/>
    <n v="15033.599999999999"/>
    <d v="2014-10-01T00:00:00"/>
    <b v="1"/>
    <n v="10"/>
    <x v="7"/>
    <s v="2014"/>
    <n v="0"/>
  </r>
  <r>
    <x v="2"/>
    <x v="3"/>
    <x v="1"/>
    <s v="Low"/>
    <n v="690"/>
    <n v="5"/>
    <n v="12"/>
    <n v="8280"/>
    <n v="165.6"/>
    <n v="8114.4"/>
    <n v="2070"/>
    <n v="6044.4"/>
    <d v="2014-11-01T00:00:00"/>
    <b v="1"/>
    <n v="11"/>
    <x v="9"/>
    <s v="2014"/>
    <n v="0"/>
  </r>
  <r>
    <x v="3"/>
    <x v="3"/>
    <x v="1"/>
    <s v="Low"/>
    <n v="1660"/>
    <n v="5"/>
    <n v="125"/>
    <n v="207500"/>
    <n v="4150"/>
    <n v="203350"/>
    <n v="199200"/>
    <n v="4150"/>
    <d v="2013-11-01T00:00:00"/>
    <b v="1"/>
    <n v="11"/>
    <x v="9"/>
    <s v="2013"/>
    <n v="0"/>
  </r>
  <r>
    <x v="1"/>
    <x v="0"/>
    <x v="2"/>
    <s v="Low"/>
    <n v="2363"/>
    <n v="10"/>
    <n v="15"/>
    <n v="35445"/>
    <n v="708.9"/>
    <n v="34736.1"/>
    <n v="23630"/>
    <n v="11106.099999999999"/>
    <d v="2014-02-01T00:00:00"/>
    <b v="1"/>
    <n v="2"/>
    <x v="8"/>
    <s v="2014"/>
    <n v="0"/>
  </r>
  <r>
    <x v="4"/>
    <x v="2"/>
    <x v="2"/>
    <s v="Low"/>
    <n v="918"/>
    <n v="10"/>
    <n v="300"/>
    <n v="275400"/>
    <n v="5508"/>
    <n v="269892"/>
    <n v="229500"/>
    <n v="40392"/>
    <d v="2014-05-01T00:00:00"/>
    <b v="1"/>
    <n v="5"/>
    <x v="11"/>
    <s v="2014"/>
    <n v="0"/>
  </r>
  <r>
    <x v="4"/>
    <x v="1"/>
    <x v="2"/>
    <s v="Low"/>
    <n v="1728"/>
    <n v="10"/>
    <n v="300"/>
    <n v="518400"/>
    <n v="10368"/>
    <n v="508032"/>
    <n v="432000"/>
    <n v="76032"/>
    <d v="2014-05-01T00:00:00"/>
    <b v="1"/>
    <n v="5"/>
    <x v="11"/>
    <s v="2014"/>
    <n v="0"/>
  </r>
  <r>
    <x v="2"/>
    <x v="4"/>
    <x v="2"/>
    <s v="Low"/>
    <n v="1142"/>
    <n v="10"/>
    <n v="12"/>
    <n v="13704"/>
    <n v="274.08"/>
    <n v="13429.92"/>
    <n v="3426"/>
    <n v="10003.92"/>
    <d v="2014-06-01T00:00:00"/>
    <b v="1"/>
    <n v="6"/>
    <x v="1"/>
    <s v="2014"/>
    <n v="0"/>
  </r>
  <r>
    <x v="3"/>
    <x v="3"/>
    <x v="2"/>
    <s v="Low"/>
    <n v="662"/>
    <n v="10"/>
    <n v="125"/>
    <n v="82750"/>
    <n v="1655"/>
    <n v="81095"/>
    <n v="79440"/>
    <n v="1655"/>
    <d v="2014-06-01T00:00:00"/>
    <b v="1"/>
    <n v="6"/>
    <x v="1"/>
    <s v="2014"/>
    <n v="0"/>
  </r>
  <r>
    <x v="2"/>
    <x v="0"/>
    <x v="2"/>
    <s v="Low"/>
    <n v="1295"/>
    <n v="10"/>
    <n v="12"/>
    <n v="15540"/>
    <n v="310.8"/>
    <n v="15229.2"/>
    <n v="3885"/>
    <n v="11344.2"/>
    <d v="2014-10-01T00:00:00"/>
    <b v="1"/>
    <n v="10"/>
    <x v="7"/>
    <s v="2014"/>
    <n v="0"/>
  </r>
  <r>
    <x v="3"/>
    <x v="1"/>
    <x v="2"/>
    <s v="Low"/>
    <n v="809"/>
    <n v="10"/>
    <n v="125"/>
    <n v="101125"/>
    <n v="2022.5"/>
    <n v="99102.5"/>
    <n v="97080"/>
    <n v="2022.5"/>
    <d v="2013-10-01T00:00:00"/>
    <b v="1"/>
    <n v="10"/>
    <x v="7"/>
    <s v="2013"/>
    <n v="0"/>
  </r>
  <r>
    <x v="3"/>
    <x v="3"/>
    <x v="2"/>
    <s v="Low"/>
    <n v="2145"/>
    <n v="10"/>
    <n v="125"/>
    <n v="268125"/>
    <n v="5362.5"/>
    <n v="262762.5"/>
    <n v="257400"/>
    <n v="5362.5"/>
    <d v="2013-10-01T00:00:00"/>
    <b v="1"/>
    <n v="10"/>
    <x v="7"/>
    <s v="2013"/>
    <n v="0"/>
  </r>
  <r>
    <x v="2"/>
    <x v="2"/>
    <x v="2"/>
    <s v="Low"/>
    <n v="1785"/>
    <n v="10"/>
    <n v="12"/>
    <n v="21420"/>
    <n v="428.4"/>
    <n v="20991.599999999999"/>
    <n v="5355"/>
    <n v="15636.599999999999"/>
    <d v="2013-11-01T00:00:00"/>
    <b v="1"/>
    <n v="11"/>
    <x v="9"/>
    <s v="2013"/>
    <n v="0"/>
  </r>
  <r>
    <x v="4"/>
    <x v="0"/>
    <x v="2"/>
    <s v="Low"/>
    <n v="1916"/>
    <n v="10"/>
    <n v="300"/>
    <n v="574800"/>
    <n v="11496"/>
    <n v="563304"/>
    <n v="479000"/>
    <n v="84304"/>
    <d v="2014-12-01T00:00:00"/>
    <b v="1"/>
    <n v="12"/>
    <x v="2"/>
    <s v="2014"/>
    <n v="0"/>
  </r>
  <r>
    <x v="0"/>
    <x v="0"/>
    <x v="2"/>
    <s v="Low"/>
    <n v="2852"/>
    <n v="10"/>
    <n v="350"/>
    <n v="998200"/>
    <n v="19964"/>
    <n v="978236"/>
    <n v="741520"/>
    <n v="236716"/>
    <d v="2014-12-01T00:00:00"/>
    <b v="1"/>
    <n v="12"/>
    <x v="2"/>
    <s v="2014"/>
    <n v="0"/>
  </r>
  <r>
    <x v="3"/>
    <x v="0"/>
    <x v="2"/>
    <s v="Low"/>
    <n v="2729"/>
    <n v="10"/>
    <n v="125"/>
    <n v="341125"/>
    <n v="6822.5"/>
    <n v="334302.5"/>
    <n v="327480"/>
    <n v="6822.5"/>
    <d v="2014-12-01T00:00:00"/>
    <b v="1"/>
    <n v="12"/>
    <x v="2"/>
    <s v="2014"/>
    <n v="0"/>
  </r>
  <r>
    <x v="1"/>
    <x v="4"/>
    <x v="2"/>
    <s v="Low"/>
    <n v="1925"/>
    <n v="10"/>
    <n v="15"/>
    <n v="28875"/>
    <n v="577.5"/>
    <n v="28297.5"/>
    <n v="19250"/>
    <n v="9047.5"/>
    <d v="2013-12-01T00:00:00"/>
    <b v="1"/>
    <n v="12"/>
    <x v="2"/>
    <s v="2013"/>
    <n v="0"/>
  </r>
  <r>
    <x v="0"/>
    <x v="4"/>
    <x v="2"/>
    <s v="Low"/>
    <n v="2013"/>
    <n v="10"/>
    <n v="7"/>
    <n v="14091"/>
    <n v="281.82"/>
    <n v="13809.18"/>
    <n v="10065"/>
    <n v="3744.1800000000003"/>
    <d v="2013-12-01T00:00:00"/>
    <b v="1"/>
    <n v="12"/>
    <x v="2"/>
    <s v="2013"/>
    <n v="0"/>
  </r>
  <r>
    <x v="2"/>
    <x v="2"/>
    <x v="2"/>
    <s v="Low"/>
    <n v="1055"/>
    <n v="10"/>
    <n v="12"/>
    <n v="12660"/>
    <n v="253.2"/>
    <n v="12406.8"/>
    <n v="3165"/>
    <n v="9241.7999999999993"/>
    <d v="2014-12-01T00:00:00"/>
    <b v="1"/>
    <n v="12"/>
    <x v="2"/>
    <s v="2014"/>
    <n v="0"/>
  </r>
  <r>
    <x v="2"/>
    <x v="3"/>
    <x v="2"/>
    <s v="Low"/>
    <n v="1084"/>
    <n v="10"/>
    <n v="12"/>
    <n v="13008"/>
    <n v="260.16000000000003"/>
    <n v="12747.84"/>
    <n v="3252"/>
    <n v="9495.84"/>
    <d v="2014-12-01T00:00:00"/>
    <b v="1"/>
    <n v="12"/>
    <x v="2"/>
    <s v="2014"/>
    <n v="0"/>
  </r>
  <r>
    <x v="0"/>
    <x v="4"/>
    <x v="3"/>
    <s v="Low"/>
    <n v="1566"/>
    <n v="120"/>
    <n v="20"/>
    <n v="31320"/>
    <n v="626.4"/>
    <n v="30693.599999999999"/>
    <n v="15660"/>
    <n v="15033.599999999999"/>
    <d v="2014-10-01T00:00:00"/>
    <b v="1"/>
    <n v="10"/>
    <x v="7"/>
    <s v="2014"/>
    <n v="0"/>
  </r>
  <r>
    <x v="0"/>
    <x v="1"/>
    <x v="3"/>
    <s v="Low"/>
    <n v="2966"/>
    <n v="120"/>
    <n v="350"/>
    <n v="1038100"/>
    <n v="20762"/>
    <n v="1017338"/>
    <n v="771160"/>
    <n v="246178"/>
    <d v="2013-10-01T00:00:00"/>
    <b v="1"/>
    <n v="10"/>
    <x v="7"/>
    <s v="2013"/>
    <n v="0"/>
  </r>
  <r>
    <x v="0"/>
    <x v="1"/>
    <x v="3"/>
    <s v="Low"/>
    <n v="2877"/>
    <n v="120"/>
    <n v="350"/>
    <n v="1006950"/>
    <n v="20139"/>
    <n v="986811"/>
    <n v="748020"/>
    <n v="238791"/>
    <d v="2014-10-01T00:00:00"/>
    <b v="1"/>
    <n v="10"/>
    <x v="7"/>
    <s v="2014"/>
    <n v="0"/>
  </r>
  <r>
    <x v="3"/>
    <x v="1"/>
    <x v="3"/>
    <s v="Low"/>
    <n v="809"/>
    <n v="120"/>
    <n v="125"/>
    <n v="101125"/>
    <n v="2022.5"/>
    <n v="99102.5"/>
    <n v="97080"/>
    <n v="2022.5"/>
    <d v="2013-10-01T00:00:00"/>
    <b v="1"/>
    <n v="10"/>
    <x v="7"/>
    <s v="2013"/>
    <n v="0"/>
  </r>
  <r>
    <x v="3"/>
    <x v="3"/>
    <x v="3"/>
    <s v="Low"/>
    <n v="2145"/>
    <n v="120"/>
    <n v="125"/>
    <n v="268125"/>
    <n v="5362.5"/>
    <n v="262762.5"/>
    <n v="257400"/>
    <n v="5362.5"/>
    <d v="2013-10-01T00:00:00"/>
    <b v="1"/>
    <n v="10"/>
    <x v="7"/>
    <s v="2013"/>
    <n v="0"/>
  </r>
  <r>
    <x v="2"/>
    <x v="2"/>
    <x v="3"/>
    <s v="Low"/>
    <n v="1055"/>
    <n v="120"/>
    <n v="12"/>
    <n v="12660"/>
    <n v="253.2"/>
    <n v="12406.8"/>
    <n v="3165"/>
    <n v="9241.7999999999993"/>
    <d v="2014-12-01T00:00:00"/>
    <b v="1"/>
    <n v="12"/>
    <x v="2"/>
    <s v="2014"/>
    <n v="0"/>
  </r>
  <r>
    <x v="0"/>
    <x v="3"/>
    <x v="3"/>
    <s v="Low"/>
    <n v="544"/>
    <n v="120"/>
    <n v="20"/>
    <n v="10880"/>
    <n v="217.6"/>
    <n v="10662.4"/>
    <n v="5440"/>
    <n v="5222.3999999999996"/>
    <d v="2013-12-01T00:00:00"/>
    <b v="1"/>
    <n v="12"/>
    <x v="2"/>
    <s v="2013"/>
    <n v="0"/>
  </r>
  <r>
    <x v="2"/>
    <x v="3"/>
    <x v="3"/>
    <s v="Low"/>
    <n v="1084"/>
    <n v="120"/>
    <n v="12"/>
    <n v="13008"/>
    <n v="260.16000000000003"/>
    <n v="12747.84"/>
    <n v="3252"/>
    <n v="9495.84"/>
    <d v="2014-12-01T00:00:00"/>
    <b v="1"/>
    <n v="12"/>
    <x v="2"/>
    <s v="2014"/>
    <n v="0"/>
  </r>
  <r>
    <x v="3"/>
    <x v="3"/>
    <x v="4"/>
    <s v="Low"/>
    <n v="662"/>
    <n v="250"/>
    <n v="125"/>
    <n v="82750"/>
    <n v="1655"/>
    <n v="81095"/>
    <n v="79440"/>
    <n v="1655"/>
    <d v="2014-06-01T00:00:00"/>
    <b v="1"/>
    <n v="6"/>
    <x v="1"/>
    <s v="2014"/>
    <n v="0"/>
  </r>
  <r>
    <x v="4"/>
    <x v="1"/>
    <x v="4"/>
    <s v="Low"/>
    <n v="214"/>
    <n v="250"/>
    <n v="300"/>
    <n v="64200"/>
    <n v="1284"/>
    <n v="62916"/>
    <n v="53500"/>
    <n v="9416"/>
    <d v="2013-10-01T00:00:00"/>
    <b v="1"/>
    <n v="10"/>
    <x v="7"/>
    <s v="2013"/>
    <n v="0"/>
  </r>
  <r>
    <x v="0"/>
    <x v="1"/>
    <x v="4"/>
    <s v="Low"/>
    <n v="2877"/>
    <n v="250"/>
    <n v="350"/>
    <n v="1006950"/>
    <n v="20139"/>
    <n v="986811"/>
    <n v="748020"/>
    <n v="238791"/>
    <d v="2014-10-01T00:00:00"/>
    <b v="1"/>
    <n v="10"/>
    <x v="7"/>
    <s v="2014"/>
    <n v="0"/>
  </r>
  <r>
    <x v="3"/>
    <x v="0"/>
    <x v="4"/>
    <s v="Low"/>
    <n v="2729"/>
    <n v="250"/>
    <n v="125"/>
    <n v="341125"/>
    <n v="6822.5"/>
    <n v="334302.5"/>
    <n v="327480"/>
    <n v="6822.5"/>
    <d v="2014-12-01T00:00:00"/>
    <b v="1"/>
    <n v="12"/>
    <x v="2"/>
    <s v="2014"/>
    <n v="0"/>
  </r>
  <r>
    <x v="0"/>
    <x v="4"/>
    <x v="4"/>
    <s v="Low"/>
    <n v="266"/>
    <n v="250"/>
    <n v="350"/>
    <n v="93100"/>
    <n v="1862"/>
    <n v="91238"/>
    <n v="69160"/>
    <n v="22078"/>
    <d v="2013-12-01T00:00:00"/>
    <b v="1"/>
    <n v="12"/>
    <x v="2"/>
    <s v="2013"/>
    <n v="0"/>
  </r>
  <r>
    <x v="0"/>
    <x v="3"/>
    <x v="4"/>
    <s v="Low"/>
    <n v="1940"/>
    <n v="250"/>
    <n v="350"/>
    <n v="679000"/>
    <n v="13580"/>
    <n v="665420"/>
    <n v="504400"/>
    <n v="161020"/>
    <d v="2013-12-01T00:00:00"/>
    <b v="1"/>
    <n v="12"/>
    <x v="2"/>
    <s v="2013"/>
    <n v="0"/>
  </r>
  <r>
    <x v="4"/>
    <x v="1"/>
    <x v="5"/>
    <s v="Low"/>
    <n v="259"/>
    <n v="260"/>
    <n v="300"/>
    <n v="77700"/>
    <n v="1554"/>
    <n v="76146"/>
    <n v="64750"/>
    <n v="11396"/>
    <d v="2014-03-01T00:00:00"/>
    <b v="1"/>
    <n v="3"/>
    <x v="3"/>
    <s v="2014"/>
    <n v="0"/>
  </r>
  <r>
    <x v="4"/>
    <x v="3"/>
    <x v="5"/>
    <s v="Low"/>
    <n v="1101"/>
    <n v="260"/>
    <n v="300"/>
    <n v="330300"/>
    <n v="6606"/>
    <n v="323694"/>
    <n v="275250"/>
    <n v="48444"/>
    <d v="2014-03-01T00:00:00"/>
    <b v="1"/>
    <n v="3"/>
    <x v="3"/>
    <s v="2014"/>
    <n v="0"/>
  </r>
  <r>
    <x v="3"/>
    <x v="1"/>
    <x v="5"/>
    <s v="Low"/>
    <n v="2276"/>
    <n v="260"/>
    <n v="125"/>
    <n v="284500"/>
    <n v="5690"/>
    <n v="278810"/>
    <n v="273120"/>
    <n v="5690"/>
    <d v="2014-05-01T00:00:00"/>
    <b v="1"/>
    <n v="5"/>
    <x v="11"/>
    <s v="2014"/>
    <n v="0"/>
  </r>
  <r>
    <x v="0"/>
    <x v="1"/>
    <x v="5"/>
    <s v="Low"/>
    <n v="2966"/>
    <n v="260"/>
    <n v="350"/>
    <n v="1038100"/>
    <n v="20762"/>
    <n v="1017338"/>
    <n v="771160"/>
    <n v="246178"/>
    <d v="2013-10-01T00:00:00"/>
    <b v="1"/>
    <n v="10"/>
    <x v="7"/>
    <s v="2013"/>
    <n v="0"/>
  </r>
  <r>
    <x v="0"/>
    <x v="4"/>
    <x v="5"/>
    <s v="Low"/>
    <n v="1236"/>
    <n v="260"/>
    <n v="20"/>
    <n v="24720"/>
    <n v="494.4"/>
    <n v="24225.599999999999"/>
    <n v="12360"/>
    <n v="11865.599999999999"/>
    <d v="2014-11-01T00:00:00"/>
    <b v="1"/>
    <n v="11"/>
    <x v="9"/>
    <s v="2014"/>
    <n v="0"/>
  </r>
  <r>
    <x v="0"/>
    <x v="2"/>
    <x v="5"/>
    <s v="Low"/>
    <n v="941"/>
    <n v="260"/>
    <n v="20"/>
    <n v="18820"/>
    <n v="376.4"/>
    <n v="18443.599999999999"/>
    <n v="9410"/>
    <n v="9033.5999999999985"/>
    <d v="2014-11-01T00:00:00"/>
    <b v="1"/>
    <n v="11"/>
    <x v="9"/>
    <s v="2014"/>
    <n v="0"/>
  </r>
  <r>
    <x v="4"/>
    <x v="0"/>
    <x v="5"/>
    <s v="Low"/>
    <n v="1916"/>
    <n v="260"/>
    <n v="300"/>
    <n v="574800"/>
    <n v="11496"/>
    <n v="563304"/>
    <n v="479000"/>
    <n v="84304"/>
    <d v="2014-12-01T00:00:00"/>
    <b v="1"/>
    <n v="12"/>
    <x v="2"/>
    <s v="2014"/>
    <n v="0"/>
  </r>
  <r>
    <x v="3"/>
    <x v="2"/>
    <x v="0"/>
    <s v="Low"/>
    <n v="4243.5"/>
    <n v="3"/>
    <n v="125"/>
    <n v="530437.5"/>
    <n v="15913.125"/>
    <n v="514524.375"/>
    <n v="509220"/>
    <n v="5304.375"/>
    <d v="2014-04-01T00:00:00"/>
    <b v="1"/>
    <n v="4"/>
    <x v="10"/>
    <s v="2014"/>
    <n v="0"/>
  </r>
  <r>
    <x v="0"/>
    <x v="1"/>
    <x v="0"/>
    <s v="Low"/>
    <n v="2580"/>
    <n v="3"/>
    <n v="20"/>
    <n v="51600"/>
    <n v="1548"/>
    <n v="50052"/>
    <n v="25800"/>
    <n v="24252"/>
    <d v="2014-04-01T00:00:00"/>
    <b v="1"/>
    <n v="4"/>
    <x v="10"/>
    <s v="2014"/>
    <n v="0"/>
  </r>
  <r>
    <x v="4"/>
    <x v="1"/>
    <x v="0"/>
    <s v="Low"/>
    <n v="689"/>
    <n v="3"/>
    <n v="300"/>
    <n v="206700"/>
    <n v="6201"/>
    <n v="200499"/>
    <n v="172250"/>
    <n v="28249"/>
    <d v="2014-06-01T00:00:00"/>
    <b v="1"/>
    <n v="6"/>
    <x v="1"/>
    <s v="2014"/>
    <n v="0"/>
  </r>
  <r>
    <x v="2"/>
    <x v="4"/>
    <x v="0"/>
    <s v="Low"/>
    <n v="1947"/>
    <n v="3"/>
    <n v="12"/>
    <n v="23364"/>
    <n v="700.92"/>
    <n v="22663.08"/>
    <n v="5841"/>
    <n v="16822.080000000002"/>
    <d v="2014-09-01T00:00:00"/>
    <b v="1"/>
    <n v="9"/>
    <x v="6"/>
    <s v="2014"/>
    <n v="0"/>
  </r>
  <r>
    <x v="2"/>
    <x v="0"/>
    <x v="0"/>
    <s v="Low"/>
    <n v="908"/>
    <n v="3"/>
    <n v="12"/>
    <n v="10896"/>
    <n v="326.88"/>
    <n v="10569.12"/>
    <n v="2724"/>
    <n v="7845.1200000000008"/>
    <d v="2013-12-01T00:00:00"/>
    <b v="1"/>
    <n v="12"/>
    <x v="2"/>
    <s v="2013"/>
    <n v="0"/>
  </r>
  <r>
    <x v="0"/>
    <x v="1"/>
    <x v="1"/>
    <s v="Low"/>
    <n v="1958"/>
    <n v="5"/>
    <n v="7"/>
    <n v="13706"/>
    <n v="411.18"/>
    <n v="13294.82"/>
    <n v="9790"/>
    <n v="3504.8199999999997"/>
    <d v="2014-02-01T00:00:00"/>
    <b v="1"/>
    <n v="2"/>
    <x v="8"/>
    <s v="2014"/>
    <n v="0"/>
  </r>
  <r>
    <x v="2"/>
    <x v="2"/>
    <x v="1"/>
    <s v="Low"/>
    <n v="1901"/>
    <n v="5"/>
    <n v="12"/>
    <n v="22812"/>
    <n v="684.36"/>
    <n v="22127.64"/>
    <n v="5703"/>
    <n v="16424.64"/>
    <d v="2014-06-01T00:00:00"/>
    <b v="1"/>
    <n v="6"/>
    <x v="1"/>
    <s v="2014"/>
    <n v="0"/>
  </r>
  <r>
    <x v="0"/>
    <x v="2"/>
    <x v="1"/>
    <s v="Low"/>
    <n v="544"/>
    <n v="5"/>
    <n v="7"/>
    <n v="3808"/>
    <n v="114.24"/>
    <n v="3693.76"/>
    <n v="2720"/>
    <n v="973.76000000000022"/>
    <d v="2014-09-01T00:00:00"/>
    <b v="1"/>
    <n v="9"/>
    <x v="6"/>
    <s v="2014"/>
    <n v="0"/>
  </r>
  <r>
    <x v="0"/>
    <x v="1"/>
    <x v="1"/>
    <s v="Low"/>
    <n v="1797"/>
    <n v="5"/>
    <n v="350"/>
    <n v="628950"/>
    <n v="18868.5"/>
    <n v="610081.5"/>
    <n v="467220"/>
    <n v="142861.5"/>
    <d v="2013-09-01T00:00:00"/>
    <b v="1"/>
    <n v="9"/>
    <x v="6"/>
    <s v="2013"/>
    <n v="0"/>
  </r>
  <r>
    <x v="3"/>
    <x v="2"/>
    <x v="1"/>
    <s v="Low"/>
    <n v="1287"/>
    <n v="5"/>
    <n v="125"/>
    <n v="160875"/>
    <n v="4826.25"/>
    <n v="156048.75"/>
    <n v="154440"/>
    <n v="1608.75"/>
    <d v="2014-12-01T00:00:00"/>
    <b v="1"/>
    <n v="12"/>
    <x v="2"/>
    <s v="2014"/>
    <n v="0"/>
  </r>
  <r>
    <x v="3"/>
    <x v="1"/>
    <x v="1"/>
    <s v="Low"/>
    <n v="1706"/>
    <n v="5"/>
    <n v="125"/>
    <n v="213250"/>
    <n v="6397.5"/>
    <n v="206852.5"/>
    <n v="204720"/>
    <n v="2132.5"/>
    <d v="2014-12-01T00:00:00"/>
    <b v="1"/>
    <n v="12"/>
    <x v="2"/>
    <s v="2014"/>
    <n v="0"/>
  </r>
  <r>
    <x v="4"/>
    <x v="2"/>
    <x v="2"/>
    <s v="Low"/>
    <n v="2434.5"/>
    <n v="10"/>
    <n v="300"/>
    <n v="730350"/>
    <n v="21910.5"/>
    <n v="708439.5"/>
    <n v="608625"/>
    <n v="99814.5"/>
    <d v="2014-01-01T00:00:00"/>
    <b v="1"/>
    <n v="1"/>
    <x v="0"/>
    <s v="2014"/>
    <n v="0"/>
  </r>
  <r>
    <x v="3"/>
    <x v="0"/>
    <x v="2"/>
    <s v="Low"/>
    <n v="1774"/>
    <n v="10"/>
    <n v="125"/>
    <n v="221750"/>
    <n v="6652.5"/>
    <n v="215097.5"/>
    <n v="212880"/>
    <n v="2217.5"/>
    <d v="2014-03-01T00:00:00"/>
    <b v="1"/>
    <n v="3"/>
    <x v="3"/>
    <s v="2014"/>
    <n v="0"/>
  </r>
  <r>
    <x v="2"/>
    <x v="2"/>
    <x v="2"/>
    <s v="Low"/>
    <n v="1901"/>
    <n v="10"/>
    <n v="12"/>
    <n v="22812"/>
    <n v="684.36"/>
    <n v="22127.64"/>
    <n v="5703"/>
    <n v="16424.64"/>
    <d v="2014-06-01T00:00:00"/>
    <b v="1"/>
    <n v="6"/>
    <x v="1"/>
    <s v="2014"/>
    <n v="0"/>
  </r>
  <r>
    <x v="4"/>
    <x v="1"/>
    <x v="2"/>
    <s v="Low"/>
    <n v="689"/>
    <n v="10"/>
    <n v="300"/>
    <n v="206700"/>
    <n v="6201"/>
    <n v="200499"/>
    <n v="172250"/>
    <n v="28249"/>
    <d v="2014-06-01T00:00:00"/>
    <b v="1"/>
    <n v="6"/>
    <x v="1"/>
    <s v="2014"/>
    <n v="0"/>
  </r>
  <r>
    <x v="3"/>
    <x v="1"/>
    <x v="2"/>
    <s v="Low"/>
    <n v="1570"/>
    <n v="10"/>
    <n v="125"/>
    <n v="196250"/>
    <n v="5887.5"/>
    <n v="190362.5"/>
    <n v="188400"/>
    <n v="1962.5"/>
    <d v="2014-06-01T00:00:00"/>
    <b v="1"/>
    <n v="6"/>
    <x v="1"/>
    <s v="2014"/>
    <n v="0"/>
  </r>
  <r>
    <x v="2"/>
    <x v="4"/>
    <x v="2"/>
    <s v="Low"/>
    <n v="1369.5"/>
    <n v="10"/>
    <n v="12"/>
    <n v="16434"/>
    <n v="493.02"/>
    <n v="15940.98"/>
    <n v="4108.5"/>
    <n v="11832.48"/>
    <d v="2014-07-01T00:00:00"/>
    <b v="1"/>
    <n v="7"/>
    <x v="4"/>
    <s v="2014"/>
    <n v="0"/>
  </r>
  <r>
    <x v="3"/>
    <x v="0"/>
    <x v="2"/>
    <s v="Low"/>
    <n v="2009"/>
    <n v="10"/>
    <n v="125"/>
    <n v="251125"/>
    <n v="7533.75"/>
    <n v="243591.25"/>
    <n v="241080"/>
    <n v="2511.25"/>
    <d v="2014-10-01T00:00:00"/>
    <b v="1"/>
    <n v="10"/>
    <x v="7"/>
    <s v="2014"/>
    <n v="0"/>
  </r>
  <r>
    <x v="1"/>
    <x v="1"/>
    <x v="2"/>
    <s v="Low"/>
    <n v="1945"/>
    <n v="10"/>
    <n v="15"/>
    <n v="29175"/>
    <n v="875.25"/>
    <n v="28299.75"/>
    <n v="19450"/>
    <n v="8849.75"/>
    <d v="2013-10-01T00:00:00"/>
    <b v="1"/>
    <n v="10"/>
    <x v="7"/>
    <s v="2013"/>
    <n v="0"/>
  </r>
  <r>
    <x v="3"/>
    <x v="2"/>
    <x v="2"/>
    <s v="Low"/>
    <n v="1287"/>
    <n v="10"/>
    <n v="125"/>
    <n v="160875"/>
    <n v="4826.25"/>
    <n v="156048.75"/>
    <n v="154440"/>
    <n v="1608.75"/>
    <d v="2014-12-01T00:00:00"/>
    <b v="1"/>
    <n v="12"/>
    <x v="2"/>
    <s v="2014"/>
    <n v="0"/>
  </r>
  <r>
    <x v="3"/>
    <x v="1"/>
    <x v="2"/>
    <s v="Low"/>
    <n v="1706"/>
    <n v="10"/>
    <n v="125"/>
    <n v="213250"/>
    <n v="6397.5"/>
    <n v="206852.5"/>
    <n v="204720"/>
    <n v="2132.5"/>
    <d v="2014-12-01T00:00:00"/>
    <b v="1"/>
    <n v="12"/>
    <x v="2"/>
    <s v="2014"/>
    <n v="0"/>
  </r>
  <r>
    <x v="3"/>
    <x v="0"/>
    <x v="3"/>
    <s v="Low"/>
    <n v="2009"/>
    <n v="120"/>
    <n v="125"/>
    <n v="251125"/>
    <n v="7533.75"/>
    <n v="243591.25"/>
    <n v="241080"/>
    <n v="2511.25"/>
    <d v="2014-10-01T00:00:00"/>
    <b v="1"/>
    <n v="10"/>
    <x v="7"/>
    <s v="2014"/>
    <n v="0"/>
  </r>
  <r>
    <x v="4"/>
    <x v="4"/>
    <x v="4"/>
    <s v="Low"/>
    <n v="2844"/>
    <n v="250"/>
    <n v="300"/>
    <n v="853200"/>
    <n v="25596"/>
    <n v="827604"/>
    <n v="711000"/>
    <n v="116604"/>
    <d v="2014-02-01T00:00:00"/>
    <b v="1"/>
    <n v="2"/>
    <x v="8"/>
    <s v="2014"/>
    <n v="0"/>
  </r>
  <r>
    <x v="2"/>
    <x v="3"/>
    <x v="4"/>
    <s v="Low"/>
    <n v="1916"/>
    <n v="250"/>
    <n v="12"/>
    <n v="22992"/>
    <n v="689.76"/>
    <n v="22302.240000000002"/>
    <n v="5748"/>
    <n v="16554.240000000002"/>
    <d v="2014-04-01T00:00:00"/>
    <b v="1"/>
    <n v="4"/>
    <x v="10"/>
    <s v="2014"/>
    <n v="0"/>
  </r>
  <r>
    <x v="3"/>
    <x v="1"/>
    <x v="4"/>
    <s v="Low"/>
    <n v="1570"/>
    <n v="250"/>
    <n v="125"/>
    <n v="196250"/>
    <n v="5887.5"/>
    <n v="190362.5"/>
    <n v="188400"/>
    <n v="1962.5"/>
    <d v="2014-06-01T00:00:00"/>
    <b v="1"/>
    <n v="6"/>
    <x v="1"/>
    <s v="2014"/>
    <n v="0"/>
  </r>
  <r>
    <x v="4"/>
    <x v="0"/>
    <x v="4"/>
    <s v="Low"/>
    <n v="1874"/>
    <n v="250"/>
    <n v="300"/>
    <n v="562200"/>
    <n v="16866"/>
    <n v="545334"/>
    <n v="468500"/>
    <n v="76834"/>
    <d v="2014-08-01T00:00:00"/>
    <b v="1"/>
    <n v="8"/>
    <x v="5"/>
    <s v="2014"/>
    <n v="0"/>
  </r>
  <r>
    <x v="0"/>
    <x v="3"/>
    <x v="4"/>
    <s v="Low"/>
    <n v="1642"/>
    <n v="250"/>
    <n v="350"/>
    <n v="574700"/>
    <n v="17241"/>
    <n v="557459"/>
    <n v="426920"/>
    <n v="130539"/>
    <d v="2014-08-01T00:00:00"/>
    <b v="1"/>
    <n v="8"/>
    <x v="5"/>
    <s v="2014"/>
    <n v="0"/>
  </r>
  <r>
    <x v="1"/>
    <x v="1"/>
    <x v="4"/>
    <s v="Low"/>
    <n v="1945"/>
    <n v="250"/>
    <n v="15"/>
    <n v="29175"/>
    <n v="875.25"/>
    <n v="28299.75"/>
    <n v="19450"/>
    <n v="8849.75"/>
    <d v="2013-10-01T00:00:00"/>
    <b v="1"/>
    <n v="10"/>
    <x v="7"/>
    <s v="2013"/>
    <n v="0"/>
  </r>
  <r>
    <x v="0"/>
    <x v="0"/>
    <x v="0"/>
    <s v="Low"/>
    <n v="831"/>
    <n v="3"/>
    <n v="20"/>
    <n v="16620"/>
    <n v="498.6"/>
    <n v="16121.4"/>
    <n v="8310"/>
    <n v="7811.4"/>
    <d v="2014-05-01T00:00:00"/>
    <b v="1"/>
    <n v="5"/>
    <x v="11"/>
    <s v="2014"/>
    <n v="0"/>
  </r>
  <r>
    <x v="0"/>
    <x v="3"/>
    <x v="2"/>
    <s v="Low"/>
    <n v="1760"/>
    <n v="10"/>
    <n v="7"/>
    <n v="12320"/>
    <n v="369.6"/>
    <n v="11950.4"/>
    <n v="8800"/>
    <n v="3150.3999999999996"/>
    <d v="2013-09-01T00:00:00"/>
    <b v="1"/>
    <n v="9"/>
    <x v="6"/>
    <s v="2013"/>
    <n v="0"/>
  </r>
  <r>
    <x v="0"/>
    <x v="0"/>
    <x v="3"/>
    <s v="Low"/>
    <n v="3850.5"/>
    <n v="120"/>
    <n v="20"/>
    <n v="77010"/>
    <n v="2310.3000000000002"/>
    <n v="74699.700000000012"/>
    <n v="38505"/>
    <n v="36194.700000000004"/>
    <d v="2014-04-01T00:00:00"/>
    <b v="1"/>
    <n v="4"/>
    <x v="10"/>
    <s v="2014"/>
    <n v="0"/>
  </r>
  <r>
    <x v="2"/>
    <x v="1"/>
    <x v="4"/>
    <s v="Low"/>
    <n v="2479"/>
    <n v="250"/>
    <n v="12"/>
    <n v="29748"/>
    <n v="892.44"/>
    <n v="28855.56"/>
    <n v="7437"/>
    <n v="21418.560000000001"/>
    <d v="2014-01-01T00:00:00"/>
    <b v="1"/>
    <n v="1"/>
    <x v="0"/>
    <s v="2014"/>
    <n v="0"/>
  </r>
  <r>
    <x v="1"/>
    <x v="3"/>
    <x v="1"/>
    <s v="Low"/>
    <n v="2031"/>
    <n v="5"/>
    <n v="15"/>
    <n v="30465"/>
    <n v="1218.5999999999999"/>
    <n v="29246.400000000001"/>
    <n v="20310"/>
    <n v="8936.4000000000015"/>
    <d v="2014-10-01T00:00:00"/>
    <b v="1"/>
    <n v="10"/>
    <x v="7"/>
    <s v="2014"/>
    <n v="0"/>
  </r>
  <r>
    <x v="1"/>
    <x v="3"/>
    <x v="2"/>
    <s v="Low"/>
    <n v="2031"/>
    <n v="10"/>
    <n v="15"/>
    <n v="30465"/>
    <n v="1218.5999999999999"/>
    <n v="29246.400000000001"/>
    <n v="20310"/>
    <n v="8936.4000000000015"/>
    <d v="2014-10-01T00:00:00"/>
    <b v="1"/>
    <n v="10"/>
    <x v="7"/>
    <s v="2014"/>
    <n v="0"/>
  </r>
  <r>
    <x v="1"/>
    <x v="2"/>
    <x v="2"/>
    <s v="Low"/>
    <n v="2261"/>
    <n v="10"/>
    <n v="15"/>
    <n v="33915"/>
    <n v="1356.6"/>
    <n v="32558.400000000001"/>
    <n v="22610"/>
    <n v="9948.4000000000015"/>
    <d v="2013-12-01T00:00:00"/>
    <b v="1"/>
    <n v="12"/>
    <x v="2"/>
    <s v="2013"/>
    <n v="0"/>
  </r>
  <r>
    <x v="0"/>
    <x v="4"/>
    <x v="3"/>
    <s v="Low"/>
    <n v="736"/>
    <n v="120"/>
    <n v="20"/>
    <n v="14720"/>
    <n v="588.79999999999995"/>
    <n v="14131.2"/>
    <n v="7360"/>
    <n v="6771.2000000000007"/>
    <d v="2013-09-01T00:00:00"/>
    <b v="1"/>
    <n v="9"/>
    <x v="6"/>
    <s v="2013"/>
    <n v="0"/>
  </r>
  <r>
    <x v="0"/>
    <x v="0"/>
    <x v="0"/>
    <s v="Low"/>
    <n v="2851"/>
    <n v="3"/>
    <n v="7"/>
    <n v="19957"/>
    <n v="798.28"/>
    <n v="19158.72"/>
    <n v="14255"/>
    <n v="4903.7200000000012"/>
    <d v="2013-10-01T00:00:00"/>
    <b v="1"/>
    <n v="10"/>
    <x v="7"/>
    <s v="2013"/>
    <n v="0"/>
  </r>
  <r>
    <x v="4"/>
    <x v="1"/>
    <x v="0"/>
    <s v="Low"/>
    <n v="2021"/>
    <n v="3"/>
    <n v="300"/>
    <n v="606300"/>
    <n v="24252"/>
    <n v="582048"/>
    <n v="505250"/>
    <n v="76798"/>
    <d v="2014-10-01T00:00:00"/>
    <b v="1"/>
    <n v="10"/>
    <x v="7"/>
    <s v="2014"/>
    <n v="0"/>
  </r>
  <r>
    <x v="0"/>
    <x v="4"/>
    <x v="0"/>
    <s v="Low"/>
    <n v="274"/>
    <n v="3"/>
    <n v="350"/>
    <n v="95900"/>
    <n v="3836"/>
    <n v="92064"/>
    <n v="71240"/>
    <n v="20824"/>
    <d v="2014-12-01T00:00:00"/>
    <b v="1"/>
    <n v="12"/>
    <x v="2"/>
    <s v="2014"/>
    <n v="0"/>
  </r>
  <r>
    <x v="1"/>
    <x v="0"/>
    <x v="1"/>
    <s v="Low"/>
    <n v="1967"/>
    <n v="5"/>
    <n v="15"/>
    <n v="29505"/>
    <n v="1180.2"/>
    <n v="28324.799999999999"/>
    <n v="19670"/>
    <n v="8654.7999999999993"/>
    <d v="2014-03-01T00:00:00"/>
    <b v="1"/>
    <n v="3"/>
    <x v="3"/>
    <s v="2014"/>
    <n v="0"/>
  </r>
  <r>
    <x v="4"/>
    <x v="1"/>
    <x v="1"/>
    <s v="Low"/>
    <n v="1859"/>
    <n v="5"/>
    <n v="300"/>
    <n v="557700"/>
    <n v="22308"/>
    <n v="535392"/>
    <n v="464750"/>
    <n v="70642"/>
    <d v="2014-08-01T00:00:00"/>
    <b v="1"/>
    <n v="8"/>
    <x v="5"/>
    <s v="2014"/>
    <n v="0"/>
  </r>
  <r>
    <x v="0"/>
    <x v="0"/>
    <x v="1"/>
    <s v="Low"/>
    <n v="2851"/>
    <n v="5"/>
    <n v="7"/>
    <n v="19957"/>
    <n v="798.28"/>
    <n v="19158.72"/>
    <n v="14255"/>
    <n v="4903.7200000000012"/>
    <d v="2013-10-01T00:00:00"/>
    <b v="1"/>
    <n v="10"/>
    <x v="7"/>
    <s v="2013"/>
    <n v="0"/>
  </r>
  <r>
    <x v="4"/>
    <x v="1"/>
    <x v="1"/>
    <s v="Low"/>
    <n v="2021"/>
    <n v="5"/>
    <n v="300"/>
    <n v="606300"/>
    <n v="24252"/>
    <n v="582048"/>
    <n v="505250"/>
    <n v="76798"/>
    <d v="2014-10-01T00:00:00"/>
    <b v="1"/>
    <n v="10"/>
    <x v="7"/>
    <s v="2014"/>
    <n v="0"/>
  </r>
  <r>
    <x v="3"/>
    <x v="3"/>
    <x v="1"/>
    <s v="Low"/>
    <n v="1138"/>
    <n v="5"/>
    <n v="125"/>
    <n v="142250"/>
    <n v="5690"/>
    <n v="136560"/>
    <n v="136560"/>
    <n v="0"/>
    <d v="2014-12-01T00:00:00"/>
    <b v="1"/>
    <n v="12"/>
    <x v="2"/>
    <s v="2014"/>
    <n v="0"/>
  </r>
  <r>
    <x v="0"/>
    <x v="0"/>
    <x v="2"/>
    <s v="Low"/>
    <n v="4251"/>
    <n v="10"/>
    <n v="7"/>
    <n v="29757"/>
    <n v="1190.28"/>
    <n v="28566.720000000001"/>
    <n v="21255"/>
    <n v="7311.7199999999993"/>
    <d v="2014-01-01T00:00:00"/>
    <b v="1"/>
    <n v="1"/>
    <x v="0"/>
    <s v="2014"/>
    <n v="0"/>
  </r>
  <r>
    <x v="3"/>
    <x v="1"/>
    <x v="2"/>
    <s v="Low"/>
    <n v="795"/>
    <n v="10"/>
    <n v="125"/>
    <n v="99375"/>
    <n v="3975"/>
    <n v="95400"/>
    <n v="95400"/>
    <n v="0"/>
    <d v="2014-03-01T00:00:00"/>
    <b v="1"/>
    <n v="3"/>
    <x v="3"/>
    <s v="2014"/>
    <n v="0"/>
  </r>
  <r>
    <x v="4"/>
    <x v="1"/>
    <x v="2"/>
    <s v="Low"/>
    <n v="1414.5"/>
    <n v="10"/>
    <n v="300"/>
    <n v="424350"/>
    <n v="16974"/>
    <n v="407376"/>
    <n v="353625"/>
    <n v="53751"/>
    <d v="2014-04-01T00:00:00"/>
    <b v="1"/>
    <n v="4"/>
    <x v="10"/>
    <s v="2014"/>
    <n v="0"/>
  </r>
  <r>
    <x v="4"/>
    <x v="4"/>
    <x v="2"/>
    <s v="Low"/>
    <n v="2918"/>
    <n v="10"/>
    <n v="300"/>
    <n v="875400"/>
    <n v="35016"/>
    <n v="840384"/>
    <n v="729500"/>
    <n v="110884"/>
    <d v="2014-05-01T00:00:00"/>
    <b v="1"/>
    <n v="5"/>
    <x v="11"/>
    <s v="2014"/>
    <n v="0"/>
  </r>
  <r>
    <x v="0"/>
    <x v="4"/>
    <x v="2"/>
    <s v="Low"/>
    <n v="3450"/>
    <n v="10"/>
    <n v="350"/>
    <n v="1207500"/>
    <n v="48300"/>
    <n v="1159200"/>
    <n v="897000"/>
    <n v="262200"/>
    <d v="2014-07-01T00:00:00"/>
    <b v="1"/>
    <n v="7"/>
    <x v="4"/>
    <s v="2014"/>
    <n v="0"/>
  </r>
  <r>
    <x v="3"/>
    <x v="2"/>
    <x v="2"/>
    <s v="Low"/>
    <n v="2988"/>
    <n v="10"/>
    <n v="125"/>
    <n v="373500"/>
    <n v="14940"/>
    <n v="358560"/>
    <n v="358560"/>
    <n v="0"/>
    <d v="2014-07-01T00:00:00"/>
    <b v="1"/>
    <n v="7"/>
    <x v="4"/>
    <s v="2014"/>
    <n v="0"/>
  </r>
  <r>
    <x v="1"/>
    <x v="0"/>
    <x v="2"/>
    <s v="Low"/>
    <n v="218"/>
    <n v="10"/>
    <n v="15"/>
    <n v="3270"/>
    <n v="130.80000000000001"/>
    <n v="3139.2"/>
    <n v="2180"/>
    <n v="959.19999999999982"/>
    <d v="2014-09-01T00:00:00"/>
    <b v="1"/>
    <n v="9"/>
    <x v="6"/>
    <s v="2014"/>
    <n v="0"/>
  </r>
  <r>
    <x v="0"/>
    <x v="0"/>
    <x v="2"/>
    <s v="Low"/>
    <n v="2074"/>
    <n v="10"/>
    <n v="20"/>
    <n v="41480"/>
    <n v="1659.2"/>
    <n v="39820.800000000003"/>
    <n v="20740"/>
    <n v="19080.800000000003"/>
    <d v="2014-09-01T00:00:00"/>
    <b v="1"/>
    <n v="9"/>
    <x v="6"/>
    <s v="2014"/>
    <n v="0"/>
  </r>
  <r>
    <x v="0"/>
    <x v="4"/>
    <x v="2"/>
    <s v="Low"/>
    <n v="1056"/>
    <n v="10"/>
    <n v="20"/>
    <n v="21120"/>
    <n v="844.8"/>
    <n v="20275.2"/>
    <n v="10560"/>
    <n v="9715.2000000000007"/>
    <d v="2014-09-01T00:00:00"/>
    <b v="1"/>
    <n v="9"/>
    <x v="6"/>
    <s v="2014"/>
    <n v="0"/>
  </r>
  <r>
    <x v="1"/>
    <x v="4"/>
    <x v="2"/>
    <s v="Low"/>
    <n v="671"/>
    <n v="10"/>
    <n v="15"/>
    <n v="10065"/>
    <n v="402.6"/>
    <n v="9662.4"/>
    <n v="6710"/>
    <n v="2952.3999999999996"/>
    <d v="2013-10-01T00:00:00"/>
    <b v="1"/>
    <n v="10"/>
    <x v="7"/>
    <s v="2013"/>
    <n v="0"/>
  </r>
  <r>
    <x v="1"/>
    <x v="3"/>
    <x v="2"/>
    <s v="Low"/>
    <n v="1514"/>
    <n v="10"/>
    <n v="15"/>
    <n v="22710"/>
    <n v="908.4"/>
    <n v="21801.599999999999"/>
    <n v="15140"/>
    <n v="6661.5999999999985"/>
    <d v="2013-10-01T00:00:00"/>
    <b v="1"/>
    <n v="10"/>
    <x v="7"/>
    <s v="2013"/>
    <n v="0"/>
  </r>
  <r>
    <x v="0"/>
    <x v="4"/>
    <x v="2"/>
    <s v="Low"/>
    <n v="274"/>
    <n v="10"/>
    <n v="350"/>
    <n v="95900"/>
    <n v="3836"/>
    <n v="92064"/>
    <n v="71240"/>
    <n v="20824"/>
    <d v="2014-12-01T00:00:00"/>
    <b v="1"/>
    <n v="12"/>
    <x v="2"/>
    <s v="2014"/>
    <n v="0"/>
  </r>
  <r>
    <x v="3"/>
    <x v="3"/>
    <x v="2"/>
    <s v="Low"/>
    <n v="1138"/>
    <n v="10"/>
    <n v="125"/>
    <n v="142250"/>
    <n v="5690"/>
    <n v="136560"/>
    <n v="136560"/>
    <n v="0"/>
    <d v="2014-12-01T00:00:00"/>
    <b v="1"/>
    <n v="12"/>
    <x v="2"/>
    <s v="2014"/>
    <n v="0"/>
  </r>
  <r>
    <x v="2"/>
    <x v="4"/>
    <x v="3"/>
    <s v="Low"/>
    <n v="1465"/>
    <n v="120"/>
    <n v="12"/>
    <n v="17580"/>
    <n v="703.2"/>
    <n v="16876.8"/>
    <n v="4395"/>
    <n v="12481.8"/>
    <d v="2014-03-01T00:00:00"/>
    <b v="1"/>
    <n v="3"/>
    <x v="3"/>
    <s v="2014"/>
    <n v="0"/>
  </r>
  <r>
    <x v="0"/>
    <x v="0"/>
    <x v="3"/>
    <s v="Low"/>
    <n v="2646"/>
    <n v="120"/>
    <n v="20"/>
    <n v="52920"/>
    <n v="2116.8000000000002"/>
    <n v="50803.199999999997"/>
    <n v="26460"/>
    <n v="24343.199999999997"/>
    <d v="2013-09-01T00:00:00"/>
    <b v="1"/>
    <n v="9"/>
    <x v="6"/>
    <s v="2013"/>
    <n v="0"/>
  </r>
  <r>
    <x v="0"/>
    <x v="2"/>
    <x v="3"/>
    <s v="Low"/>
    <n v="2177"/>
    <n v="120"/>
    <n v="350"/>
    <n v="761950"/>
    <n v="30478"/>
    <n v="731472"/>
    <n v="566020"/>
    <n v="165452"/>
    <d v="2014-10-01T00:00:00"/>
    <b v="1"/>
    <n v="10"/>
    <x v="7"/>
    <s v="2014"/>
    <n v="0"/>
  </r>
  <r>
    <x v="2"/>
    <x v="2"/>
    <x v="4"/>
    <s v="Low"/>
    <n v="866"/>
    <n v="250"/>
    <n v="12"/>
    <n v="10392"/>
    <n v="415.68"/>
    <n v="9976.32"/>
    <n v="2598"/>
    <n v="7378.32"/>
    <d v="2014-05-01T00:00:00"/>
    <b v="1"/>
    <n v="5"/>
    <x v="11"/>
    <s v="2014"/>
    <n v="0"/>
  </r>
  <r>
    <x v="0"/>
    <x v="4"/>
    <x v="4"/>
    <s v="Low"/>
    <n v="349"/>
    <n v="250"/>
    <n v="350"/>
    <n v="122150"/>
    <n v="4886"/>
    <n v="117264"/>
    <n v="90740"/>
    <n v="26524"/>
    <d v="2013-09-01T00:00:00"/>
    <b v="1"/>
    <n v="9"/>
    <x v="6"/>
    <s v="2013"/>
    <n v="0"/>
  </r>
  <r>
    <x v="0"/>
    <x v="2"/>
    <x v="4"/>
    <s v="Low"/>
    <n v="2177"/>
    <n v="250"/>
    <n v="350"/>
    <n v="761950"/>
    <n v="30478"/>
    <n v="731472"/>
    <n v="566020"/>
    <n v="165452"/>
    <d v="2014-10-01T00:00:00"/>
    <b v="1"/>
    <n v="10"/>
    <x v="7"/>
    <s v="2014"/>
    <n v="0"/>
  </r>
  <r>
    <x v="1"/>
    <x v="3"/>
    <x v="4"/>
    <s v="Low"/>
    <n v="1514"/>
    <n v="250"/>
    <n v="15"/>
    <n v="22710"/>
    <n v="908.4"/>
    <n v="21801.599999999999"/>
    <n v="15140"/>
    <n v="6661.5999999999985"/>
    <d v="2013-10-01T00:00:00"/>
    <b v="1"/>
    <n v="10"/>
    <x v="7"/>
    <s v="2013"/>
    <n v="0"/>
  </r>
  <r>
    <x v="0"/>
    <x v="3"/>
    <x v="5"/>
    <s v="Low"/>
    <n v="1865"/>
    <n v="260"/>
    <n v="350"/>
    <n v="652750"/>
    <n v="26110"/>
    <n v="626640"/>
    <n v="484900"/>
    <n v="141740"/>
    <d v="2014-02-01T00:00:00"/>
    <b v="1"/>
    <n v="2"/>
    <x v="8"/>
    <s v="2014"/>
    <n v="0"/>
  </r>
  <r>
    <x v="3"/>
    <x v="3"/>
    <x v="5"/>
    <s v="Low"/>
    <n v="1074"/>
    <n v="260"/>
    <n v="125"/>
    <n v="134250"/>
    <n v="5370"/>
    <n v="128880"/>
    <n v="128880"/>
    <n v="0"/>
    <d v="2014-04-01T00:00:00"/>
    <b v="1"/>
    <n v="4"/>
    <x v="10"/>
    <s v="2014"/>
    <n v="0"/>
  </r>
  <r>
    <x v="0"/>
    <x v="1"/>
    <x v="5"/>
    <s v="Low"/>
    <n v="1907"/>
    <n v="260"/>
    <n v="350"/>
    <n v="667450"/>
    <n v="26698"/>
    <n v="640752"/>
    <n v="495820"/>
    <n v="144932"/>
    <d v="2014-09-01T00:00:00"/>
    <b v="1"/>
    <n v="9"/>
    <x v="6"/>
    <s v="2014"/>
    <n v="0"/>
  </r>
  <r>
    <x v="1"/>
    <x v="4"/>
    <x v="5"/>
    <s v="Low"/>
    <n v="671"/>
    <n v="260"/>
    <n v="15"/>
    <n v="10065"/>
    <n v="402.6"/>
    <n v="9662.4"/>
    <n v="6710"/>
    <n v="2952.3999999999996"/>
    <d v="2013-10-01T00:00:00"/>
    <b v="1"/>
    <n v="10"/>
    <x v="7"/>
    <s v="2013"/>
    <n v="0"/>
  </r>
  <r>
    <x v="0"/>
    <x v="0"/>
    <x v="5"/>
    <s v="Low"/>
    <n v="1778"/>
    <n v="260"/>
    <n v="350"/>
    <n v="622300"/>
    <n v="24892"/>
    <n v="597408"/>
    <n v="462280"/>
    <n v="135128"/>
    <d v="2013-12-01T00:00:00"/>
    <b v="1"/>
    <n v="12"/>
    <x v="2"/>
    <s v="2013"/>
    <n v="0"/>
  </r>
  <r>
    <x v="0"/>
    <x v="1"/>
    <x v="1"/>
    <s v="Medium"/>
    <n v="1159"/>
    <n v="5"/>
    <n v="7"/>
    <n v="8113"/>
    <n v="405.65"/>
    <n v="7707.35"/>
    <n v="5795"/>
    <n v="1912.3500000000004"/>
    <d v="2013-10-01T00:00:00"/>
    <b v="1"/>
    <n v="10"/>
    <x v="7"/>
    <s v="2013"/>
    <n v="0"/>
  </r>
  <r>
    <x v="0"/>
    <x v="1"/>
    <x v="2"/>
    <s v="Medium"/>
    <n v="1372"/>
    <n v="10"/>
    <n v="7"/>
    <n v="9604"/>
    <n v="480.2"/>
    <n v="9123.7999999999993"/>
    <n v="6860"/>
    <n v="2263.7999999999993"/>
    <d v="2014-01-01T00:00:00"/>
    <b v="1"/>
    <n v="1"/>
    <x v="0"/>
    <s v="2014"/>
    <n v="0"/>
  </r>
  <r>
    <x v="0"/>
    <x v="0"/>
    <x v="2"/>
    <s v="Medium"/>
    <n v="2349"/>
    <n v="10"/>
    <n v="7"/>
    <n v="16443"/>
    <n v="822.15"/>
    <n v="15620.85"/>
    <n v="11745"/>
    <n v="3875.8500000000004"/>
    <d v="2013-09-01T00:00:00"/>
    <b v="1"/>
    <n v="9"/>
    <x v="6"/>
    <s v="2013"/>
    <n v="0"/>
  </r>
  <r>
    <x v="0"/>
    <x v="3"/>
    <x v="2"/>
    <s v="Medium"/>
    <n v="2689"/>
    <n v="10"/>
    <n v="7"/>
    <n v="18823"/>
    <n v="941.15"/>
    <n v="17881.849999999999"/>
    <n v="13445"/>
    <n v="4436.8499999999985"/>
    <d v="2014-10-01T00:00:00"/>
    <b v="1"/>
    <n v="10"/>
    <x v="7"/>
    <s v="2014"/>
    <n v="0"/>
  </r>
  <r>
    <x v="2"/>
    <x v="0"/>
    <x v="2"/>
    <s v="Medium"/>
    <n v="2431"/>
    <n v="10"/>
    <n v="12"/>
    <n v="29172"/>
    <n v="1458.6"/>
    <n v="27713.4"/>
    <n v="7293"/>
    <n v="20420.400000000001"/>
    <d v="2014-12-01T00:00:00"/>
    <b v="1"/>
    <n v="12"/>
    <x v="2"/>
    <s v="2014"/>
    <n v="0"/>
  </r>
  <r>
    <x v="2"/>
    <x v="0"/>
    <x v="3"/>
    <s v="Medium"/>
    <n v="2431"/>
    <n v="120"/>
    <n v="12"/>
    <n v="29172"/>
    <n v="1458.6"/>
    <n v="27713.4"/>
    <n v="7293"/>
    <n v="20420.400000000001"/>
    <d v="2014-12-01T00:00:00"/>
    <b v="1"/>
    <n v="12"/>
    <x v="2"/>
    <s v="2014"/>
    <n v="0"/>
  </r>
  <r>
    <x v="0"/>
    <x v="3"/>
    <x v="4"/>
    <s v="Medium"/>
    <n v="2689"/>
    <n v="250"/>
    <n v="7"/>
    <n v="18823"/>
    <n v="941.15"/>
    <n v="17881.849999999999"/>
    <n v="13445"/>
    <n v="4436.8499999999985"/>
    <d v="2014-10-01T00:00:00"/>
    <b v="1"/>
    <n v="10"/>
    <x v="7"/>
    <s v="2014"/>
    <n v="0"/>
  </r>
  <r>
    <x v="0"/>
    <x v="3"/>
    <x v="5"/>
    <s v="Medium"/>
    <n v="1683"/>
    <n v="260"/>
    <n v="7"/>
    <n v="11781"/>
    <n v="589.04999999999995"/>
    <n v="11191.95"/>
    <n v="8415"/>
    <n v="2776.9500000000007"/>
    <d v="2014-07-01T00:00:00"/>
    <b v="1"/>
    <n v="7"/>
    <x v="4"/>
    <s v="2014"/>
    <n v="0"/>
  </r>
  <r>
    <x v="2"/>
    <x v="3"/>
    <x v="5"/>
    <s v="Medium"/>
    <n v="1123"/>
    <n v="260"/>
    <n v="12"/>
    <n v="13476"/>
    <n v="673.8"/>
    <n v="12802.2"/>
    <n v="3369"/>
    <n v="9433.2000000000007"/>
    <d v="2014-08-01T00:00:00"/>
    <b v="1"/>
    <n v="8"/>
    <x v="5"/>
    <s v="2014"/>
    <n v="0"/>
  </r>
  <r>
    <x v="0"/>
    <x v="1"/>
    <x v="5"/>
    <s v="Medium"/>
    <n v="1159"/>
    <n v="260"/>
    <n v="7"/>
    <n v="8113"/>
    <n v="405.65"/>
    <n v="7707.35"/>
    <n v="5795"/>
    <n v="1912.3500000000004"/>
    <d v="2013-10-01T00:00:00"/>
    <b v="1"/>
    <n v="10"/>
    <x v="7"/>
    <s v="2013"/>
    <n v="0"/>
  </r>
  <r>
    <x v="2"/>
    <x v="2"/>
    <x v="0"/>
    <s v="Medium"/>
    <n v="1865"/>
    <n v="3"/>
    <n v="12"/>
    <n v="22380"/>
    <n v="1119"/>
    <n v="21261"/>
    <n v="5595"/>
    <n v="15666"/>
    <d v="2014-02-01T00:00:00"/>
    <b v="1"/>
    <n v="2"/>
    <x v="8"/>
    <s v="2014"/>
    <n v="0"/>
  </r>
  <r>
    <x v="2"/>
    <x v="1"/>
    <x v="0"/>
    <s v="Medium"/>
    <n v="1116"/>
    <n v="3"/>
    <n v="12"/>
    <n v="13392"/>
    <n v="669.6"/>
    <n v="12722.4"/>
    <n v="3348"/>
    <n v="9374.4"/>
    <d v="2014-02-01T00:00:00"/>
    <b v="1"/>
    <n v="2"/>
    <x v="8"/>
    <s v="2014"/>
    <n v="0"/>
  </r>
  <r>
    <x v="0"/>
    <x v="2"/>
    <x v="0"/>
    <s v="Medium"/>
    <n v="1563"/>
    <n v="3"/>
    <n v="20"/>
    <n v="31260"/>
    <n v="1563"/>
    <n v="29697"/>
    <n v="15630"/>
    <n v="14067"/>
    <d v="2014-05-01T00:00:00"/>
    <b v="1"/>
    <n v="5"/>
    <x v="11"/>
    <s v="2014"/>
    <n v="0"/>
  </r>
  <r>
    <x v="4"/>
    <x v="4"/>
    <x v="0"/>
    <s v="Medium"/>
    <n v="991"/>
    <n v="3"/>
    <n v="300"/>
    <n v="297300"/>
    <n v="14865"/>
    <n v="282435"/>
    <n v="247750"/>
    <n v="34685"/>
    <d v="2014-06-01T00:00:00"/>
    <b v="1"/>
    <n v="6"/>
    <x v="1"/>
    <s v="2014"/>
    <n v="0"/>
  </r>
  <r>
    <x v="0"/>
    <x v="1"/>
    <x v="0"/>
    <s v="Medium"/>
    <n v="1016"/>
    <n v="3"/>
    <n v="7"/>
    <n v="7112"/>
    <n v="355.6"/>
    <n v="6756.4"/>
    <n v="5080"/>
    <n v="1676.3999999999996"/>
    <d v="2013-11-01T00:00:00"/>
    <b v="1"/>
    <n v="11"/>
    <x v="9"/>
    <s v="2013"/>
    <n v="0"/>
  </r>
  <r>
    <x v="1"/>
    <x v="3"/>
    <x v="0"/>
    <s v="Medium"/>
    <n v="2791"/>
    <n v="3"/>
    <n v="15"/>
    <n v="41865"/>
    <n v="2093.25"/>
    <n v="39771.75"/>
    <n v="27910"/>
    <n v="11861.75"/>
    <d v="2014-11-01T00:00:00"/>
    <b v="1"/>
    <n v="11"/>
    <x v="9"/>
    <s v="2014"/>
    <n v="0"/>
  </r>
  <r>
    <x v="0"/>
    <x v="4"/>
    <x v="0"/>
    <s v="Medium"/>
    <n v="570"/>
    <n v="3"/>
    <n v="7"/>
    <n v="3990"/>
    <n v="199.5"/>
    <n v="3790.5"/>
    <n v="2850"/>
    <n v="940.5"/>
    <d v="2014-12-01T00:00:00"/>
    <b v="1"/>
    <n v="12"/>
    <x v="2"/>
    <s v="2014"/>
    <n v="0"/>
  </r>
  <r>
    <x v="0"/>
    <x v="2"/>
    <x v="0"/>
    <s v="Medium"/>
    <n v="2487"/>
    <n v="3"/>
    <n v="7"/>
    <n v="17409"/>
    <n v="870.45"/>
    <n v="16538.55"/>
    <n v="12435"/>
    <n v="4103.5499999999993"/>
    <d v="2014-12-01T00:00:00"/>
    <b v="1"/>
    <n v="12"/>
    <x v="2"/>
    <s v="2014"/>
    <n v="0"/>
  </r>
  <r>
    <x v="0"/>
    <x v="2"/>
    <x v="1"/>
    <s v="Medium"/>
    <n v="1384.5"/>
    <n v="5"/>
    <n v="350"/>
    <n v="484575"/>
    <n v="24228.75"/>
    <n v="460346.25"/>
    <n v="359970"/>
    <n v="100376.25"/>
    <d v="2014-01-01T00:00:00"/>
    <b v="1"/>
    <n v="1"/>
    <x v="0"/>
    <s v="2014"/>
    <n v="0"/>
  </r>
  <r>
    <x v="3"/>
    <x v="4"/>
    <x v="1"/>
    <s v="Medium"/>
    <n v="3627"/>
    <n v="5"/>
    <n v="125"/>
    <n v="453375"/>
    <n v="22668.75"/>
    <n v="430706.25"/>
    <n v="435240"/>
    <n v="-4533.75"/>
    <d v="2014-07-01T00:00:00"/>
    <b v="1"/>
    <n v="7"/>
    <x v="4"/>
    <s v="2014"/>
    <n v="0"/>
  </r>
  <r>
    <x v="0"/>
    <x v="3"/>
    <x v="1"/>
    <s v="Medium"/>
    <n v="720"/>
    <n v="5"/>
    <n v="350"/>
    <n v="252000"/>
    <n v="12600"/>
    <n v="239400"/>
    <n v="187200"/>
    <n v="52200"/>
    <d v="2013-09-01T00:00:00"/>
    <b v="1"/>
    <n v="9"/>
    <x v="6"/>
    <s v="2013"/>
    <n v="0"/>
  </r>
  <r>
    <x v="2"/>
    <x v="1"/>
    <x v="1"/>
    <s v="Medium"/>
    <n v="2342"/>
    <n v="5"/>
    <n v="12"/>
    <n v="28104"/>
    <n v="1405.2"/>
    <n v="26698.799999999999"/>
    <n v="7026"/>
    <n v="19672.8"/>
    <d v="2014-11-01T00:00:00"/>
    <b v="1"/>
    <n v="11"/>
    <x v="9"/>
    <s v="2014"/>
    <n v="0"/>
  </r>
  <r>
    <x v="4"/>
    <x v="3"/>
    <x v="1"/>
    <s v="Medium"/>
    <n v="1100"/>
    <n v="5"/>
    <n v="300"/>
    <n v="330000"/>
    <n v="16500"/>
    <n v="313500"/>
    <n v="275000"/>
    <n v="38500"/>
    <d v="2013-12-01T00:00:00"/>
    <b v="1"/>
    <n v="12"/>
    <x v="2"/>
    <s v="2013"/>
    <n v="0"/>
  </r>
  <r>
    <x v="0"/>
    <x v="2"/>
    <x v="2"/>
    <s v="Medium"/>
    <n v="1303"/>
    <n v="10"/>
    <n v="20"/>
    <n v="26060"/>
    <n v="1303"/>
    <n v="24757"/>
    <n v="13030"/>
    <n v="11727"/>
    <d v="2014-02-01T00:00:00"/>
    <b v="1"/>
    <n v="2"/>
    <x v="8"/>
    <s v="2014"/>
    <n v="0"/>
  </r>
  <r>
    <x v="3"/>
    <x v="4"/>
    <x v="2"/>
    <s v="Medium"/>
    <n v="2992"/>
    <n v="10"/>
    <n v="125"/>
    <n v="374000"/>
    <n v="18700"/>
    <n v="355300"/>
    <n v="359040"/>
    <n v="-3740"/>
    <d v="2014-03-01T00:00:00"/>
    <b v="1"/>
    <n v="3"/>
    <x v="3"/>
    <s v="2014"/>
    <n v="0"/>
  </r>
  <r>
    <x v="3"/>
    <x v="2"/>
    <x v="2"/>
    <s v="Medium"/>
    <n v="2385"/>
    <n v="10"/>
    <n v="125"/>
    <n v="298125"/>
    <n v="14906.25"/>
    <n v="283218.75"/>
    <n v="286200"/>
    <n v="-2981.25"/>
    <d v="2014-03-01T00:00:00"/>
    <b v="1"/>
    <n v="3"/>
    <x v="3"/>
    <s v="2014"/>
    <n v="0"/>
  </r>
  <r>
    <x v="4"/>
    <x v="3"/>
    <x v="2"/>
    <s v="Medium"/>
    <n v="1607"/>
    <n v="10"/>
    <n v="300"/>
    <n v="482100"/>
    <n v="24105"/>
    <n v="457995"/>
    <n v="401750"/>
    <n v="56245"/>
    <d v="2014-04-01T00:00:00"/>
    <b v="1"/>
    <n v="4"/>
    <x v="10"/>
    <s v="2014"/>
    <n v="0"/>
  </r>
  <r>
    <x v="0"/>
    <x v="4"/>
    <x v="2"/>
    <s v="Medium"/>
    <n v="2327"/>
    <n v="10"/>
    <n v="7"/>
    <n v="16289"/>
    <n v="814.45"/>
    <n v="15474.55"/>
    <n v="11635"/>
    <n v="3839.5499999999993"/>
    <d v="2014-05-01T00:00:00"/>
    <b v="1"/>
    <n v="5"/>
    <x v="11"/>
    <s v="2014"/>
    <n v="0"/>
  </r>
  <r>
    <x v="4"/>
    <x v="4"/>
    <x v="2"/>
    <s v="Medium"/>
    <n v="991"/>
    <n v="10"/>
    <n v="300"/>
    <n v="297300"/>
    <n v="14865"/>
    <n v="282435"/>
    <n v="247750"/>
    <n v="34685"/>
    <d v="2014-06-01T00:00:00"/>
    <b v="1"/>
    <n v="6"/>
    <x v="1"/>
    <s v="2014"/>
    <n v="0"/>
  </r>
  <r>
    <x v="0"/>
    <x v="4"/>
    <x v="2"/>
    <s v="Medium"/>
    <n v="602"/>
    <n v="10"/>
    <n v="350"/>
    <n v="210700"/>
    <n v="10535"/>
    <n v="200165"/>
    <n v="156520"/>
    <n v="43645"/>
    <d v="2014-06-01T00:00:00"/>
    <b v="1"/>
    <n v="6"/>
    <x v="1"/>
    <s v="2014"/>
    <n v="0"/>
  </r>
  <r>
    <x v="1"/>
    <x v="2"/>
    <x v="2"/>
    <s v="Medium"/>
    <n v="2620"/>
    <n v="10"/>
    <n v="15"/>
    <n v="39300"/>
    <n v="1965"/>
    <n v="37335"/>
    <n v="26200"/>
    <n v="11135"/>
    <d v="2014-09-01T00:00:00"/>
    <b v="1"/>
    <n v="9"/>
    <x v="6"/>
    <s v="2014"/>
    <n v="0"/>
  </r>
  <r>
    <x v="0"/>
    <x v="0"/>
    <x v="2"/>
    <s v="Medium"/>
    <n v="1228"/>
    <n v="10"/>
    <n v="350"/>
    <n v="429800"/>
    <n v="21490"/>
    <n v="408310"/>
    <n v="319280"/>
    <n v="89030"/>
    <d v="2013-10-01T00:00:00"/>
    <b v="1"/>
    <n v="10"/>
    <x v="7"/>
    <s v="2013"/>
    <n v="0"/>
  </r>
  <r>
    <x v="0"/>
    <x v="0"/>
    <x v="2"/>
    <s v="Medium"/>
    <n v="1389"/>
    <n v="10"/>
    <n v="20"/>
    <n v="27780"/>
    <n v="1389"/>
    <n v="26391"/>
    <n v="13890"/>
    <n v="12501"/>
    <d v="2013-10-01T00:00:00"/>
    <b v="1"/>
    <n v="10"/>
    <x v="7"/>
    <s v="2013"/>
    <n v="0"/>
  </r>
  <r>
    <x v="3"/>
    <x v="4"/>
    <x v="2"/>
    <s v="Medium"/>
    <n v="861"/>
    <n v="10"/>
    <n v="125"/>
    <n v="107625"/>
    <n v="5381.25"/>
    <n v="102243.75"/>
    <n v="103320"/>
    <n v="-1076.25"/>
    <d v="2014-10-01T00:00:00"/>
    <b v="1"/>
    <n v="10"/>
    <x v="7"/>
    <s v="2014"/>
    <n v="0"/>
  </r>
  <r>
    <x v="3"/>
    <x v="2"/>
    <x v="2"/>
    <s v="Medium"/>
    <n v="704"/>
    <n v="10"/>
    <n v="125"/>
    <n v="88000"/>
    <n v="4400"/>
    <n v="83600"/>
    <n v="84480"/>
    <n v="-880"/>
    <d v="2013-10-01T00:00:00"/>
    <b v="1"/>
    <n v="10"/>
    <x v="7"/>
    <s v="2013"/>
    <n v="0"/>
  </r>
  <r>
    <x v="0"/>
    <x v="0"/>
    <x v="2"/>
    <s v="Medium"/>
    <n v="1802"/>
    <n v="10"/>
    <n v="20"/>
    <n v="36040"/>
    <n v="1802"/>
    <n v="34238"/>
    <n v="18020"/>
    <n v="16218"/>
    <d v="2013-12-01T00:00:00"/>
    <b v="1"/>
    <n v="12"/>
    <x v="2"/>
    <s v="2013"/>
    <n v="0"/>
  </r>
  <r>
    <x v="0"/>
    <x v="4"/>
    <x v="2"/>
    <s v="Medium"/>
    <n v="2663"/>
    <n v="10"/>
    <n v="20"/>
    <n v="53260"/>
    <n v="2663"/>
    <n v="50597"/>
    <n v="26630"/>
    <n v="23967"/>
    <d v="2014-12-01T00:00:00"/>
    <b v="1"/>
    <n v="12"/>
    <x v="2"/>
    <s v="2014"/>
    <n v="0"/>
  </r>
  <r>
    <x v="0"/>
    <x v="2"/>
    <x v="2"/>
    <s v="Medium"/>
    <n v="2136"/>
    <n v="10"/>
    <n v="7"/>
    <n v="14952"/>
    <n v="747.6"/>
    <n v="14204.4"/>
    <n v="10680"/>
    <n v="3524.3999999999996"/>
    <d v="2013-12-01T00:00:00"/>
    <b v="1"/>
    <n v="12"/>
    <x v="2"/>
    <s v="2013"/>
    <n v="0"/>
  </r>
  <r>
    <x v="1"/>
    <x v="1"/>
    <x v="2"/>
    <s v="Medium"/>
    <n v="2116"/>
    <n v="10"/>
    <n v="15"/>
    <n v="31740"/>
    <n v="1587"/>
    <n v="30153"/>
    <n v="21160"/>
    <n v="8993"/>
    <d v="2013-12-01T00:00:00"/>
    <b v="1"/>
    <n v="12"/>
    <x v="2"/>
    <s v="2013"/>
    <n v="0"/>
  </r>
  <r>
    <x v="1"/>
    <x v="4"/>
    <x v="3"/>
    <s v="Medium"/>
    <n v="555"/>
    <n v="120"/>
    <n v="15"/>
    <n v="8325"/>
    <n v="416.25"/>
    <n v="7908.75"/>
    <n v="5550"/>
    <n v="2358.75"/>
    <d v="2014-01-01T00:00:00"/>
    <b v="1"/>
    <n v="1"/>
    <x v="0"/>
    <s v="2014"/>
    <n v="0"/>
  </r>
  <r>
    <x v="1"/>
    <x v="3"/>
    <x v="3"/>
    <s v="Medium"/>
    <n v="2861"/>
    <n v="120"/>
    <n v="15"/>
    <n v="42915"/>
    <n v="2145.75"/>
    <n v="40769.25"/>
    <n v="28610"/>
    <n v="12159.25"/>
    <d v="2014-01-01T00:00:00"/>
    <b v="1"/>
    <n v="1"/>
    <x v="0"/>
    <s v="2014"/>
    <n v="0"/>
  </r>
  <r>
    <x v="3"/>
    <x v="1"/>
    <x v="3"/>
    <s v="Medium"/>
    <n v="807"/>
    <n v="120"/>
    <n v="125"/>
    <n v="100875"/>
    <n v="5043.75"/>
    <n v="95831.25"/>
    <n v="96840"/>
    <n v="-1008.75"/>
    <d v="2014-02-01T00:00:00"/>
    <b v="1"/>
    <n v="2"/>
    <x v="8"/>
    <s v="2014"/>
    <n v="0"/>
  </r>
  <r>
    <x v="0"/>
    <x v="4"/>
    <x v="3"/>
    <s v="Medium"/>
    <n v="602"/>
    <n v="120"/>
    <n v="350"/>
    <n v="210700"/>
    <n v="10535"/>
    <n v="200165"/>
    <n v="156520"/>
    <n v="43645"/>
    <d v="2014-06-01T00:00:00"/>
    <b v="1"/>
    <n v="6"/>
    <x v="1"/>
    <s v="2014"/>
    <n v="0"/>
  </r>
  <r>
    <x v="0"/>
    <x v="4"/>
    <x v="3"/>
    <s v="Medium"/>
    <n v="2832"/>
    <n v="120"/>
    <n v="20"/>
    <n v="56640"/>
    <n v="2832"/>
    <n v="53808"/>
    <n v="28320"/>
    <n v="25488"/>
    <d v="2014-08-01T00:00:00"/>
    <b v="1"/>
    <n v="8"/>
    <x v="5"/>
    <s v="2014"/>
    <n v="0"/>
  </r>
  <r>
    <x v="0"/>
    <x v="2"/>
    <x v="3"/>
    <s v="Medium"/>
    <n v="1579"/>
    <n v="120"/>
    <n v="20"/>
    <n v="31580"/>
    <n v="1579"/>
    <n v="30001"/>
    <n v="15790"/>
    <n v="14211"/>
    <d v="2014-08-01T00:00:00"/>
    <b v="1"/>
    <n v="8"/>
    <x v="5"/>
    <s v="2014"/>
    <n v="0"/>
  </r>
  <r>
    <x v="3"/>
    <x v="4"/>
    <x v="3"/>
    <s v="Medium"/>
    <n v="861"/>
    <n v="120"/>
    <n v="125"/>
    <n v="107625"/>
    <n v="5381.25"/>
    <n v="102243.75"/>
    <n v="103320"/>
    <n v="-1076.25"/>
    <d v="2014-10-01T00:00:00"/>
    <b v="1"/>
    <n v="10"/>
    <x v="7"/>
    <s v="2014"/>
    <n v="0"/>
  </r>
  <r>
    <x v="3"/>
    <x v="2"/>
    <x v="3"/>
    <s v="Medium"/>
    <n v="704"/>
    <n v="120"/>
    <n v="125"/>
    <n v="88000"/>
    <n v="4400"/>
    <n v="83600"/>
    <n v="84480"/>
    <n v="-880"/>
    <d v="2013-10-01T00:00:00"/>
    <b v="1"/>
    <n v="10"/>
    <x v="7"/>
    <s v="2013"/>
    <n v="0"/>
  </r>
  <r>
    <x v="0"/>
    <x v="2"/>
    <x v="3"/>
    <s v="Medium"/>
    <n v="1033"/>
    <n v="120"/>
    <n v="20"/>
    <n v="20660"/>
    <n v="1033"/>
    <n v="19627"/>
    <n v="10330"/>
    <n v="9297"/>
    <d v="2013-12-01T00:00:00"/>
    <b v="1"/>
    <n v="12"/>
    <x v="2"/>
    <s v="2013"/>
    <n v="0"/>
  </r>
  <r>
    <x v="4"/>
    <x v="1"/>
    <x v="3"/>
    <s v="Medium"/>
    <n v="1250"/>
    <n v="120"/>
    <n v="300"/>
    <n v="375000"/>
    <n v="18750"/>
    <n v="356250"/>
    <n v="312500"/>
    <n v="43750"/>
    <d v="2014-12-01T00:00:00"/>
    <b v="1"/>
    <n v="12"/>
    <x v="2"/>
    <s v="2014"/>
    <n v="0"/>
  </r>
  <r>
    <x v="0"/>
    <x v="0"/>
    <x v="4"/>
    <s v="Medium"/>
    <n v="1389"/>
    <n v="250"/>
    <n v="20"/>
    <n v="27780"/>
    <n v="1389"/>
    <n v="26391"/>
    <n v="13890"/>
    <n v="12501"/>
    <d v="2013-10-01T00:00:00"/>
    <b v="1"/>
    <n v="10"/>
    <x v="7"/>
    <s v="2013"/>
    <n v="0"/>
  </r>
  <r>
    <x v="0"/>
    <x v="4"/>
    <x v="4"/>
    <s v="Medium"/>
    <n v="1265"/>
    <n v="250"/>
    <n v="20"/>
    <n v="25300"/>
    <n v="1265"/>
    <n v="24035"/>
    <n v="12650"/>
    <n v="11385"/>
    <d v="2013-11-01T00:00:00"/>
    <b v="1"/>
    <n v="11"/>
    <x v="9"/>
    <s v="2013"/>
    <n v="0"/>
  </r>
  <r>
    <x v="0"/>
    <x v="1"/>
    <x v="4"/>
    <s v="Medium"/>
    <n v="2297"/>
    <n v="250"/>
    <n v="20"/>
    <n v="45940"/>
    <n v="2297"/>
    <n v="43643"/>
    <n v="22970"/>
    <n v="20673"/>
    <d v="2013-11-01T00:00:00"/>
    <b v="1"/>
    <n v="11"/>
    <x v="9"/>
    <s v="2013"/>
    <n v="0"/>
  </r>
  <r>
    <x v="0"/>
    <x v="4"/>
    <x v="4"/>
    <s v="Medium"/>
    <n v="2663"/>
    <n v="250"/>
    <n v="20"/>
    <n v="53260"/>
    <n v="2663"/>
    <n v="50597"/>
    <n v="26630"/>
    <n v="23967"/>
    <d v="2014-12-01T00:00:00"/>
    <b v="1"/>
    <n v="12"/>
    <x v="2"/>
    <s v="2014"/>
    <n v="0"/>
  </r>
  <r>
    <x v="0"/>
    <x v="4"/>
    <x v="4"/>
    <s v="Medium"/>
    <n v="570"/>
    <n v="250"/>
    <n v="7"/>
    <n v="3990"/>
    <n v="199.5"/>
    <n v="3790.5"/>
    <n v="2850"/>
    <n v="940.5"/>
    <d v="2014-12-01T00:00:00"/>
    <b v="1"/>
    <n v="12"/>
    <x v="2"/>
    <s v="2014"/>
    <n v="0"/>
  </r>
  <r>
    <x v="0"/>
    <x v="2"/>
    <x v="4"/>
    <s v="Medium"/>
    <n v="2487"/>
    <n v="250"/>
    <n v="7"/>
    <n v="17409"/>
    <n v="870.45"/>
    <n v="16538.55"/>
    <n v="12435"/>
    <n v="4103.5499999999993"/>
    <d v="2014-12-01T00:00:00"/>
    <b v="1"/>
    <n v="12"/>
    <x v="2"/>
    <s v="2014"/>
    <n v="0"/>
  </r>
  <r>
    <x v="0"/>
    <x v="1"/>
    <x v="5"/>
    <s v="Medium"/>
    <n v="1350"/>
    <n v="260"/>
    <n v="350"/>
    <n v="472500"/>
    <n v="23625"/>
    <n v="448875"/>
    <n v="351000"/>
    <n v="97875"/>
    <d v="2014-02-01T00:00:00"/>
    <b v="1"/>
    <n v="2"/>
    <x v="8"/>
    <s v="2014"/>
    <n v="0"/>
  </r>
  <r>
    <x v="0"/>
    <x v="0"/>
    <x v="5"/>
    <s v="Medium"/>
    <n v="552"/>
    <n v="260"/>
    <n v="350"/>
    <n v="193200"/>
    <n v="9660"/>
    <n v="183540"/>
    <n v="143520"/>
    <n v="40020"/>
    <d v="2014-08-01T00:00:00"/>
    <b v="1"/>
    <n v="8"/>
    <x v="5"/>
    <s v="2014"/>
    <n v="0"/>
  </r>
  <r>
    <x v="0"/>
    <x v="0"/>
    <x v="5"/>
    <s v="Medium"/>
    <n v="1228"/>
    <n v="260"/>
    <n v="350"/>
    <n v="429800"/>
    <n v="21490"/>
    <n v="408310"/>
    <n v="319280"/>
    <n v="89030"/>
    <d v="2013-10-01T00:00:00"/>
    <b v="1"/>
    <n v="10"/>
    <x v="7"/>
    <s v="2013"/>
    <n v="0"/>
  </r>
  <r>
    <x v="4"/>
    <x v="1"/>
    <x v="5"/>
    <s v="Medium"/>
    <n v="1250"/>
    <n v="260"/>
    <n v="300"/>
    <n v="375000"/>
    <n v="18750"/>
    <n v="356250"/>
    <n v="312500"/>
    <n v="43750"/>
    <d v="2014-12-01T00:00:00"/>
    <b v="1"/>
    <n v="12"/>
    <x v="2"/>
    <s v="2014"/>
    <n v="0"/>
  </r>
  <r>
    <x v="1"/>
    <x v="2"/>
    <x v="2"/>
    <s v="Medium"/>
    <n v="3801"/>
    <n v="10"/>
    <n v="15"/>
    <n v="57015"/>
    <n v="3420.8999999999996"/>
    <n v="53594.100000000006"/>
    <n v="38010"/>
    <n v="15584.100000000002"/>
    <d v="2014-04-01T00:00:00"/>
    <b v="1"/>
    <n v="4"/>
    <x v="10"/>
    <s v="2014"/>
    <n v="0"/>
  </r>
  <r>
    <x v="0"/>
    <x v="4"/>
    <x v="0"/>
    <s v="Medium"/>
    <n v="1117.5"/>
    <n v="3"/>
    <n v="20"/>
    <n v="22350"/>
    <n v="1341"/>
    <n v="21009"/>
    <n v="11175"/>
    <n v="9834"/>
    <d v="2014-01-01T00:00:00"/>
    <b v="1"/>
    <n v="1"/>
    <x v="0"/>
    <s v="2014"/>
    <n v="0"/>
  </r>
  <r>
    <x v="1"/>
    <x v="0"/>
    <x v="0"/>
    <s v="Medium"/>
    <n v="2844"/>
    <n v="3"/>
    <n v="15"/>
    <n v="42660"/>
    <n v="2559.6"/>
    <n v="40100.400000000001"/>
    <n v="28440"/>
    <n v="11660.400000000001"/>
    <d v="2014-06-01T00:00:00"/>
    <b v="1"/>
    <n v="6"/>
    <x v="1"/>
    <s v="2014"/>
    <n v="0"/>
  </r>
  <r>
    <x v="2"/>
    <x v="3"/>
    <x v="0"/>
    <s v="Medium"/>
    <n v="562"/>
    <n v="3"/>
    <n v="12"/>
    <n v="6744"/>
    <n v="404.64"/>
    <n v="6339.36"/>
    <n v="1686"/>
    <n v="4653.3599999999997"/>
    <d v="2014-09-01T00:00:00"/>
    <b v="1"/>
    <n v="9"/>
    <x v="6"/>
    <s v="2014"/>
    <n v="0"/>
  </r>
  <r>
    <x v="2"/>
    <x v="0"/>
    <x v="0"/>
    <s v="Medium"/>
    <n v="2299"/>
    <n v="3"/>
    <n v="12"/>
    <n v="27588"/>
    <n v="1655.28"/>
    <n v="25932.720000000001"/>
    <n v="6897"/>
    <n v="19035.72"/>
    <d v="2013-10-01T00:00:00"/>
    <b v="1"/>
    <n v="10"/>
    <x v="7"/>
    <s v="2013"/>
    <n v="0"/>
  </r>
  <r>
    <x v="1"/>
    <x v="4"/>
    <x v="0"/>
    <s v="Medium"/>
    <n v="2030"/>
    <n v="3"/>
    <n v="15"/>
    <n v="30450"/>
    <n v="1827"/>
    <n v="28623"/>
    <n v="20300"/>
    <n v="8323"/>
    <d v="2014-11-01T00:00:00"/>
    <b v="1"/>
    <n v="11"/>
    <x v="9"/>
    <s v="2014"/>
    <n v="0"/>
  </r>
  <r>
    <x v="0"/>
    <x v="4"/>
    <x v="0"/>
    <s v="Medium"/>
    <n v="263"/>
    <n v="3"/>
    <n v="7"/>
    <n v="1841"/>
    <n v="110.46"/>
    <n v="1730.54"/>
    <n v="1315"/>
    <n v="415.53999999999996"/>
    <d v="2013-11-01T00:00:00"/>
    <b v="1"/>
    <n v="11"/>
    <x v="9"/>
    <s v="2013"/>
    <n v="0"/>
  </r>
  <r>
    <x v="3"/>
    <x v="1"/>
    <x v="0"/>
    <s v="Medium"/>
    <n v="887"/>
    <n v="3"/>
    <n v="125"/>
    <n v="110875"/>
    <n v="6652.5"/>
    <n v="104222.5"/>
    <n v="106440"/>
    <n v="-2217.5"/>
    <d v="2013-12-01T00:00:00"/>
    <b v="1"/>
    <n v="12"/>
    <x v="2"/>
    <s v="2013"/>
    <n v="0"/>
  </r>
  <r>
    <x v="0"/>
    <x v="3"/>
    <x v="1"/>
    <s v="Medium"/>
    <n v="980"/>
    <n v="5"/>
    <n v="350"/>
    <n v="343000"/>
    <n v="20580"/>
    <n v="322420"/>
    <n v="254800"/>
    <n v="67620"/>
    <d v="2014-04-01T00:00:00"/>
    <b v="1"/>
    <n v="4"/>
    <x v="10"/>
    <s v="2014"/>
    <n v="0"/>
  </r>
  <r>
    <x v="0"/>
    <x v="1"/>
    <x v="1"/>
    <s v="Medium"/>
    <n v="1460"/>
    <n v="5"/>
    <n v="350"/>
    <n v="511000"/>
    <n v="30660"/>
    <n v="480340"/>
    <n v="379600"/>
    <n v="100740"/>
    <d v="2014-05-01T00:00:00"/>
    <b v="1"/>
    <n v="5"/>
    <x v="11"/>
    <s v="2014"/>
    <n v="0"/>
  </r>
  <r>
    <x v="0"/>
    <x v="2"/>
    <x v="1"/>
    <s v="Medium"/>
    <n v="1403"/>
    <n v="5"/>
    <n v="7"/>
    <n v="9821"/>
    <n v="589.26"/>
    <n v="9231.74"/>
    <n v="7015"/>
    <n v="2216.7399999999998"/>
    <d v="2013-10-01T00:00:00"/>
    <b v="1"/>
    <n v="10"/>
    <x v="7"/>
    <s v="2013"/>
    <n v="0"/>
  </r>
  <r>
    <x v="2"/>
    <x v="4"/>
    <x v="1"/>
    <s v="Medium"/>
    <n v="2723"/>
    <n v="5"/>
    <n v="12"/>
    <n v="32676"/>
    <n v="1960.56"/>
    <n v="30715.439999999999"/>
    <n v="8169"/>
    <n v="22546.44"/>
    <d v="2014-11-01T00:00:00"/>
    <b v="1"/>
    <n v="11"/>
    <x v="9"/>
    <s v="2014"/>
    <n v="0"/>
  </r>
  <r>
    <x v="0"/>
    <x v="2"/>
    <x v="2"/>
    <s v="Medium"/>
    <n v="1496"/>
    <n v="10"/>
    <n v="350"/>
    <n v="523600"/>
    <n v="31416"/>
    <n v="492184"/>
    <n v="388960"/>
    <n v="103224"/>
    <d v="2014-06-01T00:00:00"/>
    <b v="1"/>
    <n v="6"/>
    <x v="1"/>
    <s v="2014"/>
    <n v="0"/>
  </r>
  <r>
    <x v="2"/>
    <x v="0"/>
    <x v="2"/>
    <s v="Medium"/>
    <n v="2299"/>
    <n v="10"/>
    <n v="12"/>
    <n v="27588"/>
    <n v="1655.28"/>
    <n v="25932.720000000001"/>
    <n v="6897"/>
    <n v="19035.72"/>
    <d v="2013-10-01T00:00:00"/>
    <b v="1"/>
    <n v="10"/>
    <x v="7"/>
    <s v="2013"/>
    <n v="0"/>
  </r>
  <r>
    <x v="0"/>
    <x v="4"/>
    <x v="2"/>
    <s v="Medium"/>
    <n v="727"/>
    <n v="10"/>
    <n v="350"/>
    <n v="254450"/>
    <n v="15267"/>
    <n v="239183"/>
    <n v="189020"/>
    <n v="50163"/>
    <d v="2013-10-01T00:00:00"/>
    <b v="1"/>
    <n v="10"/>
    <x v="7"/>
    <s v="2013"/>
    <n v="0"/>
  </r>
  <r>
    <x v="3"/>
    <x v="0"/>
    <x v="3"/>
    <s v="Medium"/>
    <n v="952"/>
    <n v="120"/>
    <n v="125"/>
    <n v="119000"/>
    <n v="7140"/>
    <n v="111860"/>
    <n v="114240"/>
    <n v="-2380"/>
    <d v="2014-02-01T00:00:00"/>
    <b v="1"/>
    <n v="2"/>
    <x v="8"/>
    <s v="2014"/>
    <n v="0"/>
  </r>
  <r>
    <x v="3"/>
    <x v="4"/>
    <x v="3"/>
    <s v="Medium"/>
    <n v="2755"/>
    <n v="120"/>
    <n v="125"/>
    <n v="344375"/>
    <n v="20662.5"/>
    <n v="323712.5"/>
    <n v="330600"/>
    <n v="-6887.5"/>
    <d v="2014-02-01T00:00:00"/>
    <b v="1"/>
    <n v="2"/>
    <x v="8"/>
    <s v="2014"/>
    <n v="0"/>
  </r>
  <r>
    <x v="1"/>
    <x v="1"/>
    <x v="3"/>
    <s v="Medium"/>
    <n v="1530"/>
    <n v="120"/>
    <n v="15"/>
    <n v="22950"/>
    <n v="1377"/>
    <n v="21573"/>
    <n v="15300"/>
    <n v="6273"/>
    <d v="2014-05-01T00:00:00"/>
    <b v="1"/>
    <n v="5"/>
    <x v="11"/>
    <s v="2014"/>
    <n v="0"/>
  </r>
  <r>
    <x v="0"/>
    <x v="2"/>
    <x v="3"/>
    <s v="Medium"/>
    <n v="1496"/>
    <n v="120"/>
    <n v="350"/>
    <n v="523600"/>
    <n v="31416"/>
    <n v="492184"/>
    <n v="388960"/>
    <n v="103224"/>
    <d v="2014-06-01T00:00:00"/>
    <b v="1"/>
    <n v="6"/>
    <x v="1"/>
    <s v="2014"/>
    <n v="0"/>
  </r>
  <r>
    <x v="0"/>
    <x v="3"/>
    <x v="3"/>
    <s v="Medium"/>
    <n v="1498"/>
    <n v="120"/>
    <n v="7"/>
    <n v="10486"/>
    <n v="629.16"/>
    <n v="9856.84"/>
    <n v="7490"/>
    <n v="2366.84"/>
    <d v="2014-06-01T00:00:00"/>
    <b v="1"/>
    <n v="6"/>
    <x v="1"/>
    <s v="2014"/>
    <n v="0"/>
  </r>
  <r>
    <x v="4"/>
    <x v="2"/>
    <x v="3"/>
    <s v="Medium"/>
    <n v="1221"/>
    <n v="120"/>
    <n v="300"/>
    <n v="366300"/>
    <n v="21978"/>
    <n v="344322"/>
    <n v="305250"/>
    <n v="39072"/>
    <d v="2013-10-01T00:00:00"/>
    <b v="1"/>
    <n v="10"/>
    <x v="7"/>
    <s v="2013"/>
    <n v="0"/>
  </r>
  <r>
    <x v="0"/>
    <x v="2"/>
    <x v="3"/>
    <s v="Medium"/>
    <n v="2076"/>
    <n v="120"/>
    <n v="350"/>
    <n v="726600"/>
    <n v="43596"/>
    <n v="683004"/>
    <n v="539760"/>
    <n v="143244"/>
    <d v="2013-10-01T00:00:00"/>
    <b v="1"/>
    <n v="10"/>
    <x v="7"/>
    <s v="2013"/>
    <n v="0"/>
  </r>
  <r>
    <x v="1"/>
    <x v="0"/>
    <x v="4"/>
    <s v="Medium"/>
    <n v="2844"/>
    <n v="250"/>
    <n v="15"/>
    <n v="42660"/>
    <n v="2559.6"/>
    <n v="40100.400000000001"/>
    <n v="28440"/>
    <n v="11660.400000000001"/>
    <d v="2014-06-01T00:00:00"/>
    <b v="1"/>
    <n v="6"/>
    <x v="1"/>
    <s v="2014"/>
    <n v="0"/>
  </r>
  <r>
    <x v="0"/>
    <x v="3"/>
    <x v="4"/>
    <s v="Medium"/>
    <n v="1498"/>
    <n v="250"/>
    <n v="7"/>
    <n v="10486"/>
    <n v="629.16"/>
    <n v="9856.84"/>
    <n v="7490"/>
    <n v="2366.84"/>
    <d v="2014-06-01T00:00:00"/>
    <b v="1"/>
    <n v="6"/>
    <x v="1"/>
    <s v="2014"/>
    <n v="0"/>
  </r>
  <r>
    <x v="4"/>
    <x v="2"/>
    <x v="4"/>
    <s v="Medium"/>
    <n v="1221"/>
    <n v="250"/>
    <n v="300"/>
    <n v="366300"/>
    <n v="21978"/>
    <n v="344322"/>
    <n v="305250"/>
    <n v="39072"/>
    <d v="2013-10-01T00:00:00"/>
    <b v="1"/>
    <n v="10"/>
    <x v="7"/>
    <s v="2013"/>
    <n v="0"/>
  </r>
  <r>
    <x v="0"/>
    <x v="3"/>
    <x v="4"/>
    <s v="Medium"/>
    <n v="1123"/>
    <n v="250"/>
    <n v="20"/>
    <n v="22460"/>
    <n v="1347.6"/>
    <n v="21112.400000000001"/>
    <n v="11230"/>
    <n v="9882.4000000000015"/>
    <d v="2013-11-01T00:00:00"/>
    <b v="1"/>
    <n v="11"/>
    <x v="9"/>
    <s v="2013"/>
    <n v="0"/>
  </r>
  <r>
    <x v="4"/>
    <x v="0"/>
    <x v="4"/>
    <s v="Medium"/>
    <n v="2436"/>
    <n v="250"/>
    <n v="300"/>
    <n v="730800"/>
    <n v="43848"/>
    <n v="686952"/>
    <n v="609000"/>
    <n v="77952"/>
    <d v="2013-12-01T00:00:00"/>
    <b v="1"/>
    <n v="12"/>
    <x v="2"/>
    <s v="2013"/>
    <n v="0"/>
  </r>
  <r>
    <x v="3"/>
    <x v="2"/>
    <x v="5"/>
    <s v="Medium"/>
    <n v="1987.5"/>
    <n v="260"/>
    <n v="125"/>
    <n v="248437.5"/>
    <n v="14906.25"/>
    <n v="233531.25"/>
    <n v="238500"/>
    <n v="-4968.75"/>
    <d v="2014-01-01T00:00:00"/>
    <b v="1"/>
    <n v="1"/>
    <x v="0"/>
    <s v="2014"/>
    <n v="0"/>
  </r>
  <r>
    <x v="0"/>
    <x v="3"/>
    <x v="5"/>
    <s v="Medium"/>
    <n v="1679"/>
    <n v="260"/>
    <n v="350"/>
    <n v="587650"/>
    <n v="35259"/>
    <n v="552391"/>
    <n v="436540"/>
    <n v="115851"/>
    <d v="2014-09-01T00:00:00"/>
    <b v="1"/>
    <n v="9"/>
    <x v="6"/>
    <s v="2014"/>
    <n v="0"/>
  </r>
  <r>
    <x v="0"/>
    <x v="4"/>
    <x v="5"/>
    <s v="Medium"/>
    <n v="727"/>
    <n v="260"/>
    <n v="350"/>
    <n v="254450"/>
    <n v="15267"/>
    <n v="239183"/>
    <n v="189020"/>
    <n v="50163"/>
    <d v="2013-10-01T00:00:00"/>
    <b v="1"/>
    <n v="10"/>
    <x v="7"/>
    <s v="2013"/>
    <n v="0"/>
  </r>
  <r>
    <x v="0"/>
    <x v="2"/>
    <x v="5"/>
    <s v="Medium"/>
    <n v="1403"/>
    <n v="260"/>
    <n v="7"/>
    <n v="9821"/>
    <n v="589.26"/>
    <n v="9231.74"/>
    <n v="7015"/>
    <n v="2216.7399999999998"/>
    <d v="2013-10-01T00:00:00"/>
    <b v="1"/>
    <n v="10"/>
    <x v="7"/>
    <s v="2013"/>
    <n v="0"/>
  </r>
  <r>
    <x v="0"/>
    <x v="2"/>
    <x v="5"/>
    <s v="Medium"/>
    <n v="2076"/>
    <n v="260"/>
    <n v="350"/>
    <n v="726600"/>
    <n v="43596"/>
    <n v="683004"/>
    <n v="539760"/>
    <n v="143244"/>
    <d v="2013-10-01T00:00:00"/>
    <b v="1"/>
    <n v="10"/>
    <x v="7"/>
    <s v="2013"/>
    <n v="0"/>
  </r>
  <r>
    <x v="0"/>
    <x v="2"/>
    <x v="1"/>
    <s v="Medium"/>
    <n v="1757"/>
    <n v="5"/>
    <n v="20"/>
    <n v="35140"/>
    <n v="2108.4"/>
    <n v="33031.599999999999"/>
    <n v="17570"/>
    <n v="15461.599999999999"/>
    <d v="2013-10-01T00:00:00"/>
    <b v="1"/>
    <n v="10"/>
    <x v="7"/>
    <s v="2013"/>
    <n v="0"/>
  </r>
  <r>
    <x v="1"/>
    <x v="4"/>
    <x v="2"/>
    <s v="Medium"/>
    <n v="2198"/>
    <n v="10"/>
    <n v="15"/>
    <n v="32970"/>
    <n v="1978.2"/>
    <n v="30991.8"/>
    <n v="21980"/>
    <n v="9011.7999999999993"/>
    <d v="2014-08-01T00:00:00"/>
    <b v="1"/>
    <n v="8"/>
    <x v="5"/>
    <s v="2014"/>
    <n v="0"/>
  </r>
  <r>
    <x v="1"/>
    <x v="1"/>
    <x v="2"/>
    <s v="Medium"/>
    <n v="1743"/>
    <n v="10"/>
    <n v="15"/>
    <n v="26145"/>
    <n v="1568.7"/>
    <n v="24576.3"/>
    <n v="17430"/>
    <n v="7146.2999999999993"/>
    <d v="2014-08-01T00:00:00"/>
    <b v="1"/>
    <n v="8"/>
    <x v="5"/>
    <s v="2014"/>
    <n v="0"/>
  </r>
  <r>
    <x v="1"/>
    <x v="4"/>
    <x v="2"/>
    <s v="Medium"/>
    <n v="1153"/>
    <n v="10"/>
    <n v="15"/>
    <n v="17295"/>
    <n v="1037.7"/>
    <n v="16257.3"/>
    <n v="11530"/>
    <n v="4727.2999999999993"/>
    <d v="2014-10-01T00:00:00"/>
    <b v="1"/>
    <n v="10"/>
    <x v="7"/>
    <s v="2014"/>
    <n v="0"/>
  </r>
  <r>
    <x v="0"/>
    <x v="2"/>
    <x v="2"/>
    <s v="Medium"/>
    <n v="1757"/>
    <n v="10"/>
    <n v="20"/>
    <n v="35140"/>
    <n v="2108.4"/>
    <n v="33031.599999999999"/>
    <n v="17570"/>
    <n v="15461.599999999999"/>
    <d v="2013-10-01T00:00:00"/>
    <b v="1"/>
    <n v="10"/>
    <x v="7"/>
    <s v="2013"/>
    <n v="0"/>
  </r>
  <r>
    <x v="0"/>
    <x v="1"/>
    <x v="3"/>
    <s v="Medium"/>
    <n v="1001"/>
    <n v="120"/>
    <n v="20"/>
    <n v="20020"/>
    <n v="1201.2"/>
    <n v="18818.8"/>
    <n v="10010"/>
    <n v="8808.7999999999993"/>
    <d v="2014-08-01T00:00:00"/>
    <b v="1"/>
    <n v="8"/>
    <x v="5"/>
    <s v="2014"/>
    <n v="0"/>
  </r>
  <r>
    <x v="0"/>
    <x v="3"/>
    <x v="3"/>
    <s v="Medium"/>
    <n v="1333"/>
    <n v="120"/>
    <n v="7"/>
    <n v="9331"/>
    <n v="559.86"/>
    <n v="8771.14"/>
    <n v="6665"/>
    <n v="2106.1399999999994"/>
    <d v="2014-11-01T00:00:00"/>
    <b v="1"/>
    <n v="11"/>
    <x v="9"/>
    <s v="2014"/>
    <n v="0"/>
  </r>
  <r>
    <x v="1"/>
    <x v="4"/>
    <x v="4"/>
    <s v="Medium"/>
    <n v="1153"/>
    <n v="250"/>
    <n v="15"/>
    <n v="17295"/>
    <n v="1037.7"/>
    <n v="16257.3"/>
    <n v="11530"/>
    <n v="4727.2999999999993"/>
    <d v="2014-10-01T00:00:00"/>
    <b v="1"/>
    <n v="10"/>
    <x v="7"/>
    <s v="2014"/>
    <n v="0"/>
  </r>
  <r>
    <x v="2"/>
    <x v="3"/>
    <x v="0"/>
    <s v="Medium"/>
    <n v="727"/>
    <n v="3"/>
    <n v="12"/>
    <n v="8724"/>
    <n v="610.67999999999995"/>
    <n v="8113.32"/>
    <n v="2181"/>
    <n v="5932.32"/>
    <d v="2014-02-01T00:00:00"/>
    <b v="1"/>
    <n v="2"/>
    <x v="8"/>
    <s v="2014"/>
    <n v="0"/>
  </r>
  <r>
    <x v="2"/>
    <x v="0"/>
    <x v="0"/>
    <s v="Medium"/>
    <n v="1884"/>
    <n v="3"/>
    <n v="12"/>
    <n v="22608"/>
    <n v="1582.56"/>
    <n v="21025.439999999999"/>
    <n v="5652"/>
    <n v="15373.439999999999"/>
    <d v="2014-08-01T00:00:00"/>
    <b v="1"/>
    <n v="8"/>
    <x v="5"/>
    <s v="2014"/>
    <n v="0"/>
  </r>
  <r>
    <x v="0"/>
    <x v="3"/>
    <x v="0"/>
    <s v="Medium"/>
    <n v="1834"/>
    <n v="3"/>
    <n v="20"/>
    <n v="36680"/>
    <n v="2567.6"/>
    <n v="34112.400000000001"/>
    <n v="18340"/>
    <n v="15772.400000000001"/>
    <d v="2013-09-01T00:00:00"/>
    <b v="1"/>
    <n v="9"/>
    <x v="6"/>
    <s v="2013"/>
    <n v="0"/>
  </r>
  <r>
    <x v="2"/>
    <x v="3"/>
    <x v="1"/>
    <s v="Medium"/>
    <n v="2340"/>
    <n v="5"/>
    <n v="12"/>
    <n v="28080"/>
    <n v="1965.6"/>
    <n v="26114.400000000001"/>
    <n v="7020"/>
    <n v="19094.400000000001"/>
    <d v="2014-01-01T00:00:00"/>
    <b v="1"/>
    <n v="1"/>
    <x v="0"/>
    <s v="2014"/>
    <n v="0"/>
  </r>
  <r>
    <x v="2"/>
    <x v="2"/>
    <x v="1"/>
    <s v="Medium"/>
    <n v="2342"/>
    <n v="5"/>
    <n v="12"/>
    <n v="28104"/>
    <n v="1967.28"/>
    <n v="26136.720000000001"/>
    <n v="7026"/>
    <n v="19110.72"/>
    <d v="2014-11-01T00:00:00"/>
    <b v="1"/>
    <n v="11"/>
    <x v="9"/>
    <s v="2014"/>
    <n v="0"/>
  </r>
  <r>
    <x v="0"/>
    <x v="2"/>
    <x v="2"/>
    <s v="Medium"/>
    <n v="1031"/>
    <n v="10"/>
    <n v="7"/>
    <n v="7217"/>
    <n v="505.19"/>
    <n v="6711.81"/>
    <n v="5155"/>
    <n v="1556.8100000000004"/>
    <d v="2013-09-01T00:00:00"/>
    <b v="1"/>
    <n v="9"/>
    <x v="6"/>
    <s v="2013"/>
    <n v="0"/>
  </r>
  <r>
    <x v="1"/>
    <x v="0"/>
    <x v="3"/>
    <s v="Medium"/>
    <n v="1262"/>
    <n v="120"/>
    <n v="15"/>
    <n v="18930"/>
    <n v="1325.1"/>
    <n v="17604.900000000001"/>
    <n v="12620"/>
    <n v="4984.9000000000015"/>
    <d v="2014-05-01T00:00:00"/>
    <b v="1"/>
    <n v="5"/>
    <x v="11"/>
    <s v="2014"/>
    <n v="0"/>
  </r>
  <r>
    <x v="0"/>
    <x v="0"/>
    <x v="3"/>
    <s v="Medium"/>
    <n v="1135"/>
    <n v="120"/>
    <n v="7"/>
    <n v="7945"/>
    <n v="556.15"/>
    <n v="7388.85"/>
    <n v="5675"/>
    <n v="1713.8500000000004"/>
    <d v="2014-06-01T00:00:00"/>
    <b v="1"/>
    <n v="6"/>
    <x v="1"/>
    <s v="2014"/>
    <n v="0"/>
  </r>
  <r>
    <x v="0"/>
    <x v="4"/>
    <x v="3"/>
    <s v="Medium"/>
    <n v="547"/>
    <n v="120"/>
    <n v="7"/>
    <n v="3829"/>
    <n v="268.02999999999997"/>
    <n v="3560.9700000000003"/>
    <n v="2735"/>
    <n v="825.97000000000025"/>
    <d v="2014-11-01T00:00:00"/>
    <b v="1"/>
    <n v="11"/>
    <x v="9"/>
    <s v="2014"/>
    <n v="0"/>
  </r>
  <r>
    <x v="0"/>
    <x v="0"/>
    <x v="3"/>
    <s v="Medium"/>
    <n v="1582"/>
    <n v="120"/>
    <n v="7"/>
    <n v="11074"/>
    <n v="775.18"/>
    <n v="10298.82"/>
    <n v="7910"/>
    <n v="2388.8199999999997"/>
    <d v="2014-12-01T00:00:00"/>
    <b v="1"/>
    <n v="12"/>
    <x v="2"/>
    <s v="2014"/>
    <n v="0"/>
  </r>
  <r>
    <x v="2"/>
    <x v="2"/>
    <x v="4"/>
    <s v="Medium"/>
    <n v="1738.5"/>
    <n v="250"/>
    <n v="12"/>
    <n v="20862"/>
    <n v="1460.34"/>
    <n v="19401.66"/>
    <n v="5215.5"/>
    <n v="14186.16"/>
    <d v="2014-04-01T00:00:00"/>
    <b v="1"/>
    <n v="4"/>
    <x v="10"/>
    <s v="2014"/>
    <n v="0"/>
  </r>
  <r>
    <x v="2"/>
    <x v="1"/>
    <x v="4"/>
    <s v="Medium"/>
    <n v="2215"/>
    <n v="250"/>
    <n v="12"/>
    <n v="26580"/>
    <n v="1860.6"/>
    <n v="24719.4"/>
    <n v="6645"/>
    <n v="18074.400000000001"/>
    <d v="2013-09-01T00:00:00"/>
    <b v="1"/>
    <n v="9"/>
    <x v="6"/>
    <s v="2013"/>
    <n v="0"/>
  </r>
  <r>
    <x v="0"/>
    <x v="0"/>
    <x v="4"/>
    <s v="Medium"/>
    <n v="1582"/>
    <n v="250"/>
    <n v="7"/>
    <n v="11074"/>
    <n v="775.18"/>
    <n v="10298.82"/>
    <n v="7910"/>
    <n v="2388.8199999999997"/>
    <d v="2014-12-01T00:00:00"/>
    <b v="1"/>
    <n v="12"/>
    <x v="2"/>
    <s v="2014"/>
    <n v="0"/>
  </r>
  <r>
    <x v="0"/>
    <x v="0"/>
    <x v="5"/>
    <s v="Medium"/>
    <n v="1135"/>
    <n v="260"/>
    <n v="7"/>
    <n v="7945"/>
    <n v="556.15"/>
    <n v="7388.85"/>
    <n v="5675"/>
    <n v="1713.8500000000004"/>
    <d v="2014-06-01T00:00:00"/>
    <b v="1"/>
    <n v="6"/>
    <x v="1"/>
    <s v="2014"/>
    <n v="0"/>
  </r>
  <r>
    <x v="0"/>
    <x v="4"/>
    <x v="0"/>
    <s v="Medium"/>
    <n v="1761"/>
    <n v="3"/>
    <n v="350"/>
    <n v="616350"/>
    <n v="43144.5"/>
    <n v="573205.5"/>
    <n v="457860"/>
    <n v="115345.5"/>
    <d v="2014-03-01T00:00:00"/>
    <b v="1"/>
    <n v="3"/>
    <x v="3"/>
    <s v="2014"/>
    <n v="0"/>
  </r>
  <r>
    <x v="4"/>
    <x v="2"/>
    <x v="0"/>
    <s v="Medium"/>
    <n v="448"/>
    <n v="3"/>
    <n v="300"/>
    <n v="134400"/>
    <n v="9408"/>
    <n v="124992"/>
    <n v="112000"/>
    <n v="12992"/>
    <d v="2014-06-01T00:00:00"/>
    <b v="1"/>
    <n v="6"/>
    <x v="1"/>
    <s v="2014"/>
    <n v="0"/>
  </r>
  <r>
    <x v="4"/>
    <x v="2"/>
    <x v="0"/>
    <s v="Medium"/>
    <n v="2181"/>
    <n v="3"/>
    <n v="300"/>
    <n v="654300"/>
    <n v="45801"/>
    <n v="608499"/>
    <n v="545250"/>
    <n v="63249"/>
    <d v="2014-10-01T00:00:00"/>
    <b v="1"/>
    <n v="10"/>
    <x v="7"/>
    <s v="2014"/>
    <n v="0"/>
  </r>
  <r>
    <x v="0"/>
    <x v="2"/>
    <x v="1"/>
    <s v="Medium"/>
    <n v="1976"/>
    <n v="5"/>
    <n v="20"/>
    <n v="39520"/>
    <n v="2766.4"/>
    <n v="36753.599999999999"/>
    <n v="19760"/>
    <n v="16993.599999999999"/>
    <d v="2014-10-01T00:00:00"/>
    <b v="1"/>
    <n v="10"/>
    <x v="7"/>
    <s v="2014"/>
    <n v="0"/>
  </r>
  <r>
    <x v="4"/>
    <x v="2"/>
    <x v="1"/>
    <s v="Medium"/>
    <n v="2181"/>
    <n v="5"/>
    <n v="300"/>
    <n v="654300"/>
    <n v="45801"/>
    <n v="608499"/>
    <n v="545250"/>
    <n v="63249"/>
    <d v="2014-10-01T00:00:00"/>
    <b v="1"/>
    <n v="10"/>
    <x v="7"/>
    <s v="2014"/>
    <n v="0"/>
  </r>
  <r>
    <x v="3"/>
    <x v="1"/>
    <x v="1"/>
    <s v="Medium"/>
    <n v="2500"/>
    <n v="5"/>
    <n v="125"/>
    <n v="312500"/>
    <n v="21875"/>
    <n v="290625"/>
    <n v="300000"/>
    <n v="-9375"/>
    <d v="2013-11-01T00:00:00"/>
    <b v="1"/>
    <n v="11"/>
    <x v="9"/>
    <s v="2013"/>
    <n v="0"/>
  </r>
  <r>
    <x v="4"/>
    <x v="0"/>
    <x v="2"/>
    <s v="Medium"/>
    <n v="1702"/>
    <n v="10"/>
    <n v="300"/>
    <n v="510600"/>
    <n v="35742"/>
    <n v="474858"/>
    <n v="425500"/>
    <n v="49358"/>
    <d v="2014-05-01T00:00:00"/>
    <b v="1"/>
    <n v="5"/>
    <x v="11"/>
    <s v="2014"/>
    <n v="0"/>
  </r>
  <r>
    <x v="4"/>
    <x v="2"/>
    <x v="2"/>
    <s v="Medium"/>
    <n v="448"/>
    <n v="10"/>
    <n v="300"/>
    <n v="134400"/>
    <n v="9408"/>
    <n v="124992"/>
    <n v="112000"/>
    <n v="12992"/>
    <d v="2014-06-01T00:00:00"/>
    <b v="1"/>
    <n v="6"/>
    <x v="1"/>
    <s v="2014"/>
    <n v="0"/>
  </r>
  <r>
    <x v="3"/>
    <x v="1"/>
    <x v="2"/>
    <s v="Medium"/>
    <n v="3513"/>
    <n v="10"/>
    <n v="125"/>
    <n v="439125"/>
    <n v="30738.75"/>
    <n v="408386.25"/>
    <n v="421560"/>
    <n v="-13173.75"/>
    <d v="2014-07-01T00:00:00"/>
    <b v="1"/>
    <n v="7"/>
    <x v="4"/>
    <s v="2014"/>
    <n v="0"/>
  </r>
  <r>
    <x v="1"/>
    <x v="2"/>
    <x v="2"/>
    <s v="Medium"/>
    <n v="2101"/>
    <n v="10"/>
    <n v="15"/>
    <n v="31515"/>
    <n v="2206.0500000000002"/>
    <n v="29308.95"/>
    <n v="21010"/>
    <n v="8298.9500000000007"/>
    <d v="2014-08-01T00:00:00"/>
    <b v="1"/>
    <n v="8"/>
    <x v="5"/>
    <s v="2014"/>
    <n v="0"/>
  </r>
  <r>
    <x v="1"/>
    <x v="4"/>
    <x v="2"/>
    <s v="Medium"/>
    <n v="2931"/>
    <n v="10"/>
    <n v="15"/>
    <n v="43965"/>
    <n v="3077.55"/>
    <n v="40887.449999999997"/>
    <n v="29310"/>
    <n v="11577.449999999997"/>
    <d v="2013-09-01T00:00:00"/>
    <b v="1"/>
    <n v="9"/>
    <x v="6"/>
    <s v="2013"/>
    <n v="0"/>
  </r>
  <r>
    <x v="0"/>
    <x v="2"/>
    <x v="2"/>
    <s v="Medium"/>
    <n v="1535"/>
    <n v="10"/>
    <n v="20"/>
    <n v="30700"/>
    <n v="2149"/>
    <n v="28551"/>
    <n v="15350"/>
    <n v="13201"/>
    <d v="2014-09-01T00:00:00"/>
    <b v="1"/>
    <n v="9"/>
    <x v="6"/>
    <s v="2014"/>
    <n v="0"/>
  </r>
  <r>
    <x v="4"/>
    <x v="1"/>
    <x v="2"/>
    <s v="Medium"/>
    <n v="1123"/>
    <n v="10"/>
    <n v="300"/>
    <n v="336900"/>
    <n v="23583"/>
    <n v="313317"/>
    <n v="280750"/>
    <n v="32567"/>
    <d v="2013-09-01T00:00:00"/>
    <b v="1"/>
    <n v="9"/>
    <x v="6"/>
    <s v="2013"/>
    <n v="0"/>
  </r>
  <r>
    <x v="4"/>
    <x v="0"/>
    <x v="2"/>
    <s v="Medium"/>
    <n v="1404"/>
    <n v="10"/>
    <n v="300"/>
    <n v="421200"/>
    <n v="29484"/>
    <n v="391716"/>
    <n v="351000"/>
    <n v="40716"/>
    <d v="2013-11-01T00:00:00"/>
    <b v="1"/>
    <n v="11"/>
    <x v="9"/>
    <s v="2013"/>
    <n v="0"/>
  </r>
  <r>
    <x v="2"/>
    <x v="3"/>
    <x v="2"/>
    <s v="Medium"/>
    <n v="2763"/>
    <n v="10"/>
    <n v="12"/>
    <n v="33156"/>
    <n v="2320.92"/>
    <n v="30835.08"/>
    <n v="8289"/>
    <n v="22546.080000000002"/>
    <d v="2013-11-01T00:00:00"/>
    <b v="1"/>
    <n v="11"/>
    <x v="9"/>
    <s v="2013"/>
    <n v="0"/>
  </r>
  <r>
    <x v="0"/>
    <x v="1"/>
    <x v="2"/>
    <s v="Medium"/>
    <n v="2125"/>
    <n v="10"/>
    <n v="7"/>
    <n v="14875"/>
    <n v="1041.25"/>
    <n v="13833.75"/>
    <n v="10625"/>
    <n v="3208.75"/>
    <d v="2013-12-01T00:00:00"/>
    <b v="1"/>
    <n v="12"/>
    <x v="2"/>
    <s v="2013"/>
    <n v="0"/>
  </r>
  <r>
    <x v="4"/>
    <x v="2"/>
    <x v="3"/>
    <s v="Medium"/>
    <n v="1659"/>
    <n v="120"/>
    <n v="300"/>
    <n v="497700"/>
    <n v="34839"/>
    <n v="462861"/>
    <n v="414750"/>
    <n v="48111"/>
    <d v="2014-07-01T00:00:00"/>
    <b v="1"/>
    <n v="7"/>
    <x v="4"/>
    <s v="2014"/>
    <n v="0"/>
  </r>
  <r>
    <x v="0"/>
    <x v="3"/>
    <x v="3"/>
    <s v="Medium"/>
    <n v="609"/>
    <n v="120"/>
    <n v="20"/>
    <n v="12180"/>
    <n v="852.6"/>
    <n v="11327.4"/>
    <n v="6090"/>
    <n v="5237.3999999999996"/>
    <d v="2014-08-01T00:00:00"/>
    <b v="1"/>
    <n v="8"/>
    <x v="5"/>
    <s v="2014"/>
    <n v="0"/>
  </r>
  <r>
    <x v="3"/>
    <x v="1"/>
    <x v="3"/>
    <s v="Medium"/>
    <n v="2087"/>
    <n v="120"/>
    <n v="125"/>
    <n v="260875"/>
    <n v="18261.25"/>
    <n v="242613.75"/>
    <n v="250440"/>
    <n v="-7826.25"/>
    <d v="2014-09-01T00:00:00"/>
    <b v="1"/>
    <n v="9"/>
    <x v="6"/>
    <s v="2014"/>
    <n v="0"/>
  </r>
  <r>
    <x v="0"/>
    <x v="2"/>
    <x v="3"/>
    <s v="Medium"/>
    <n v="1976"/>
    <n v="120"/>
    <n v="20"/>
    <n v="39520"/>
    <n v="2766.4"/>
    <n v="36753.599999999999"/>
    <n v="19760"/>
    <n v="16993.599999999999"/>
    <d v="2014-10-01T00:00:00"/>
    <b v="1"/>
    <n v="10"/>
    <x v="7"/>
    <s v="2014"/>
    <n v="0"/>
  </r>
  <r>
    <x v="0"/>
    <x v="4"/>
    <x v="3"/>
    <s v="Medium"/>
    <n v="1421"/>
    <n v="120"/>
    <n v="20"/>
    <n v="28420"/>
    <n v="1989.4"/>
    <n v="26430.6"/>
    <n v="14210"/>
    <n v="12220.599999999999"/>
    <d v="2013-12-01T00:00:00"/>
    <b v="1"/>
    <n v="12"/>
    <x v="2"/>
    <s v="2013"/>
    <n v="0"/>
  </r>
  <r>
    <x v="4"/>
    <x v="4"/>
    <x v="3"/>
    <s v="Medium"/>
    <n v="1372"/>
    <n v="120"/>
    <n v="300"/>
    <n v="411600"/>
    <n v="28812"/>
    <n v="382788"/>
    <n v="343000"/>
    <n v="39788"/>
    <d v="2014-12-01T00:00:00"/>
    <b v="1"/>
    <n v="12"/>
    <x v="2"/>
    <s v="2014"/>
    <n v="0"/>
  </r>
  <r>
    <x v="0"/>
    <x v="1"/>
    <x v="3"/>
    <s v="Medium"/>
    <n v="588"/>
    <n v="120"/>
    <n v="20"/>
    <n v="11760"/>
    <n v="823.2"/>
    <n v="10936.8"/>
    <n v="5880"/>
    <n v="5056.7999999999993"/>
    <d v="2013-12-01T00:00:00"/>
    <b v="1"/>
    <n v="12"/>
    <x v="2"/>
    <s v="2013"/>
    <n v="0"/>
  </r>
  <r>
    <x v="2"/>
    <x v="0"/>
    <x v="4"/>
    <s v="Medium"/>
    <n v="3244.5"/>
    <n v="250"/>
    <n v="12"/>
    <n v="38934"/>
    <n v="2725.38"/>
    <n v="36208.620000000003"/>
    <n v="9733.5"/>
    <n v="26475.120000000003"/>
    <d v="2014-01-01T00:00:00"/>
    <b v="1"/>
    <n v="1"/>
    <x v="0"/>
    <s v="2014"/>
    <n v="0"/>
  </r>
  <r>
    <x v="4"/>
    <x v="2"/>
    <x v="4"/>
    <s v="Medium"/>
    <n v="959"/>
    <n v="250"/>
    <n v="300"/>
    <n v="287700"/>
    <n v="20139"/>
    <n v="267561"/>
    <n v="239750"/>
    <n v="27811"/>
    <d v="2014-02-01T00:00:00"/>
    <b v="1"/>
    <n v="2"/>
    <x v="8"/>
    <s v="2014"/>
    <n v="0"/>
  </r>
  <r>
    <x v="4"/>
    <x v="3"/>
    <x v="4"/>
    <s v="Medium"/>
    <n v="2747"/>
    <n v="250"/>
    <n v="300"/>
    <n v="824100"/>
    <n v="57687"/>
    <n v="766413"/>
    <n v="686750"/>
    <n v="79663"/>
    <d v="2014-02-01T00:00:00"/>
    <b v="1"/>
    <n v="2"/>
    <x v="8"/>
    <s v="2014"/>
    <n v="0"/>
  </r>
  <r>
    <x v="3"/>
    <x v="0"/>
    <x v="5"/>
    <s v="Medium"/>
    <n v="1645"/>
    <n v="260"/>
    <n v="125"/>
    <n v="205625"/>
    <n v="14393.75"/>
    <n v="191231.25"/>
    <n v="197400"/>
    <n v="-6168.75"/>
    <d v="2014-05-01T00:00:00"/>
    <b v="1"/>
    <n v="5"/>
    <x v="11"/>
    <s v="2014"/>
    <n v="0"/>
  </r>
  <r>
    <x v="0"/>
    <x v="2"/>
    <x v="5"/>
    <s v="Medium"/>
    <n v="2876"/>
    <n v="260"/>
    <n v="350"/>
    <n v="1006600"/>
    <n v="70462"/>
    <n v="936138"/>
    <n v="747760"/>
    <n v="188378"/>
    <d v="2014-09-01T00:00:00"/>
    <b v="1"/>
    <n v="9"/>
    <x v="6"/>
    <s v="2014"/>
    <n v="0"/>
  </r>
  <r>
    <x v="3"/>
    <x v="1"/>
    <x v="5"/>
    <s v="Medium"/>
    <n v="994"/>
    <n v="260"/>
    <n v="125"/>
    <n v="124250"/>
    <n v="8697.5"/>
    <n v="115552.5"/>
    <n v="119280"/>
    <n v="-3727.5"/>
    <d v="2013-09-01T00:00:00"/>
    <b v="1"/>
    <n v="9"/>
    <x v="6"/>
    <s v="2013"/>
    <n v="0"/>
  </r>
  <r>
    <x v="0"/>
    <x v="0"/>
    <x v="5"/>
    <s v="Medium"/>
    <n v="1118"/>
    <n v="260"/>
    <n v="20"/>
    <n v="22360"/>
    <n v="1565.2"/>
    <n v="20794.8"/>
    <n v="11180"/>
    <n v="9614.7999999999993"/>
    <d v="2014-11-01T00:00:00"/>
    <b v="1"/>
    <n v="11"/>
    <x v="9"/>
    <s v="2014"/>
    <n v="0"/>
  </r>
  <r>
    <x v="4"/>
    <x v="4"/>
    <x v="5"/>
    <s v="Medium"/>
    <n v="1372"/>
    <n v="260"/>
    <n v="300"/>
    <n v="411600"/>
    <n v="28812"/>
    <n v="382788"/>
    <n v="343000"/>
    <n v="39788"/>
    <d v="2014-12-01T00:00:00"/>
    <b v="1"/>
    <n v="12"/>
    <x v="2"/>
    <s v="2014"/>
    <n v="0"/>
  </r>
  <r>
    <x v="0"/>
    <x v="0"/>
    <x v="1"/>
    <s v="Medium"/>
    <n v="488"/>
    <n v="5"/>
    <n v="7"/>
    <n v="3416"/>
    <n v="273.27999999999997"/>
    <n v="3142.7200000000003"/>
    <n v="2440"/>
    <n v="702.72000000000025"/>
    <d v="2014-02-01T00:00:00"/>
    <b v="1"/>
    <n v="2"/>
    <x v="8"/>
    <s v="2014"/>
    <n v="0"/>
  </r>
  <r>
    <x v="0"/>
    <x v="4"/>
    <x v="1"/>
    <s v="Medium"/>
    <n v="1282"/>
    <n v="5"/>
    <n v="20"/>
    <n v="25640"/>
    <n v="2051.1999999999998"/>
    <n v="23588.799999999999"/>
    <n v="12820"/>
    <n v="10768.8"/>
    <d v="2014-06-01T00:00:00"/>
    <b v="1"/>
    <n v="6"/>
    <x v="1"/>
    <s v="2014"/>
    <n v="0"/>
  </r>
  <r>
    <x v="0"/>
    <x v="0"/>
    <x v="2"/>
    <s v="Medium"/>
    <n v="257"/>
    <n v="10"/>
    <n v="7"/>
    <n v="1799"/>
    <n v="143.91999999999999"/>
    <n v="1655.08"/>
    <n v="1285"/>
    <n v="370.07999999999993"/>
    <d v="2014-05-01T00:00:00"/>
    <b v="1"/>
    <n v="5"/>
    <x v="11"/>
    <s v="2014"/>
    <n v="0"/>
  </r>
  <r>
    <x v="0"/>
    <x v="4"/>
    <x v="5"/>
    <s v="Medium"/>
    <n v="1282"/>
    <n v="260"/>
    <n v="20"/>
    <n v="25640"/>
    <n v="2051.1999999999998"/>
    <n v="23588.799999999999"/>
    <n v="12820"/>
    <n v="10768.8"/>
    <d v="2014-06-01T00:00:00"/>
    <b v="1"/>
    <n v="6"/>
    <x v="1"/>
    <s v="2014"/>
    <n v="0"/>
  </r>
  <r>
    <x v="3"/>
    <x v="3"/>
    <x v="0"/>
    <s v="Medium"/>
    <n v="1540"/>
    <n v="3"/>
    <n v="125"/>
    <n v="192500"/>
    <n v="15400"/>
    <n v="177100"/>
    <n v="184800"/>
    <n v="-7700"/>
    <d v="2014-08-01T00:00:00"/>
    <b v="1"/>
    <n v="8"/>
    <x v="5"/>
    <s v="2014"/>
    <n v="0"/>
  </r>
  <r>
    <x v="1"/>
    <x v="2"/>
    <x v="0"/>
    <s v="Medium"/>
    <n v="490"/>
    <n v="3"/>
    <n v="15"/>
    <n v="7350"/>
    <n v="588"/>
    <n v="6762"/>
    <n v="4900"/>
    <n v="1862"/>
    <d v="2014-11-01T00:00:00"/>
    <b v="1"/>
    <n v="11"/>
    <x v="9"/>
    <s v="2014"/>
    <n v="0"/>
  </r>
  <r>
    <x v="0"/>
    <x v="3"/>
    <x v="0"/>
    <s v="Medium"/>
    <n v="1362"/>
    <n v="3"/>
    <n v="350"/>
    <n v="476700"/>
    <n v="38136"/>
    <n v="438564"/>
    <n v="354120"/>
    <n v="84444"/>
    <d v="2014-12-01T00:00:00"/>
    <b v="1"/>
    <n v="12"/>
    <x v="2"/>
    <s v="2014"/>
    <n v="0"/>
  </r>
  <r>
    <x v="1"/>
    <x v="2"/>
    <x v="1"/>
    <s v="Medium"/>
    <n v="2501"/>
    <n v="5"/>
    <n v="15"/>
    <n v="37515"/>
    <n v="3001.2"/>
    <n v="34513.800000000003"/>
    <n v="25010"/>
    <n v="9503.8000000000029"/>
    <d v="2014-03-01T00:00:00"/>
    <b v="1"/>
    <n v="3"/>
    <x v="3"/>
    <s v="2014"/>
    <n v="0"/>
  </r>
  <r>
    <x v="0"/>
    <x v="0"/>
    <x v="1"/>
    <s v="Medium"/>
    <n v="708"/>
    <n v="5"/>
    <n v="20"/>
    <n v="14160"/>
    <n v="1132.8"/>
    <n v="13027.2"/>
    <n v="7080"/>
    <n v="5947.2000000000007"/>
    <d v="2014-06-01T00:00:00"/>
    <b v="1"/>
    <n v="6"/>
    <x v="1"/>
    <s v="2014"/>
    <n v="0"/>
  </r>
  <r>
    <x v="0"/>
    <x v="1"/>
    <x v="1"/>
    <s v="Medium"/>
    <n v="645"/>
    <n v="5"/>
    <n v="20"/>
    <n v="12900"/>
    <n v="1032"/>
    <n v="11868"/>
    <n v="6450"/>
    <n v="5418"/>
    <d v="2014-07-01T00:00:00"/>
    <b v="1"/>
    <n v="7"/>
    <x v="4"/>
    <s v="2014"/>
    <n v="0"/>
  </r>
  <r>
    <x v="4"/>
    <x v="2"/>
    <x v="1"/>
    <s v="Medium"/>
    <n v="1562"/>
    <n v="5"/>
    <n v="300"/>
    <n v="468600"/>
    <n v="37488"/>
    <n v="431112"/>
    <n v="390500"/>
    <n v="40612"/>
    <d v="2014-08-01T00:00:00"/>
    <b v="1"/>
    <n v="8"/>
    <x v="5"/>
    <s v="2014"/>
    <n v="0"/>
  </r>
  <r>
    <x v="4"/>
    <x v="0"/>
    <x v="1"/>
    <s v="Medium"/>
    <n v="1283"/>
    <n v="5"/>
    <n v="300"/>
    <n v="384900"/>
    <n v="30792"/>
    <n v="354108"/>
    <n v="320750"/>
    <n v="33358"/>
    <d v="2013-09-01T00:00:00"/>
    <b v="1"/>
    <n v="9"/>
    <x v="6"/>
    <s v="2013"/>
    <n v="0"/>
  </r>
  <r>
    <x v="1"/>
    <x v="1"/>
    <x v="1"/>
    <s v="Medium"/>
    <n v="711"/>
    <n v="5"/>
    <n v="15"/>
    <n v="10665"/>
    <n v="853.2"/>
    <n v="9811.7999999999993"/>
    <n v="7110"/>
    <n v="2701.7999999999993"/>
    <d v="2014-12-01T00:00:00"/>
    <b v="1"/>
    <n v="12"/>
    <x v="2"/>
    <s v="2014"/>
    <n v="0"/>
  </r>
  <r>
    <x v="3"/>
    <x v="3"/>
    <x v="2"/>
    <s v="Medium"/>
    <n v="1114"/>
    <n v="10"/>
    <n v="125"/>
    <n v="139250"/>
    <n v="11140"/>
    <n v="128110"/>
    <n v="133680"/>
    <n v="-5570"/>
    <d v="2014-03-01T00:00:00"/>
    <b v="1"/>
    <n v="3"/>
    <x v="3"/>
    <s v="2014"/>
    <n v="0"/>
  </r>
  <r>
    <x v="0"/>
    <x v="1"/>
    <x v="2"/>
    <s v="Medium"/>
    <n v="1259"/>
    <n v="10"/>
    <n v="7"/>
    <n v="8813"/>
    <n v="705.04"/>
    <n v="8107.96"/>
    <n v="6295"/>
    <n v="1812.96"/>
    <d v="2014-04-01T00:00:00"/>
    <b v="1"/>
    <n v="4"/>
    <x v="10"/>
    <s v="2014"/>
    <n v="0"/>
  </r>
  <r>
    <x v="0"/>
    <x v="1"/>
    <x v="2"/>
    <s v="Medium"/>
    <n v="1095"/>
    <n v="10"/>
    <n v="7"/>
    <n v="7665"/>
    <n v="613.20000000000005"/>
    <n v="7051.8"/>
    <n v="5475"/>
    <n v="1576.8000000000002"/>
    <d v="2014-05-01T00:00:00"/>
    <b v="1"/>
    <n v="5"/>
    <x v="11"/>
    <s v="2014"/>
    <n v="0"/>
  </r>
  <r>
    <x v="0"/>
    <x v="1"/>
    <x v="2"/>
    <s v="Medium"/>
    <n v="1366"/>
    <n v="10"/>
    <n v="20"/>
    <n v="27320"/>
    <n v="2185.6"/>
    <n v="25134.400000000001"/>
    <n v="13660"/>
    <n v="11474.400000000001"/>
    <d v="2014-06-01T00:00:00"/>
    <b v="1"/>
    <n v="6"/>
    <x v="1"/>
    <s v="2014"/>
    <n v="0"/>
  </r>
  <r>
    <x v="4"/>
    <x v="3"/>
    <x v="2"/>
    <s v="Medium"/>
    <n v="2460"/>
    <n v="10"/>
    <n v="300"/>
    <n v="738000"/>
    <n v="59040"/>
    <n v="678960"/>
    <n v="615000"/>
    <n v="63960"/>
    <d v="2014-06-01T00:00:00"/>
    <b v="1"/>
    <n v="6"/>
    <x v="1"/>
    <s v="2014"/>
    <n v="0"/>
  </r>
  <r>
    <x v="0"/>
    <x v="4"/>
    <x v="2"/>
    <s v="Medium"/>
    <n v="678"/>
    <n v="10"/>
    <n v="7"/>
    <n v="4746"/>
    <n v="379.68"/>
    <n v="4366.32"/>
    <n v="3390"/>
    <n v="976.31999999999971"/>
    <d v="2014-08-01T00:00:00"/>
    <b v="1"/>
    <n v="8"/>
    <x v="5"/>
    <s v="2014"/>
    <n v="0"/>
  </r>
  <r>
    <x v="0"/>
    <x v="1"/>
    <x v="2"/>
    <s v="Medium"/>
    <n v="1598"/>
    <n v="10"/>
    <n v="7"/>
    <n v="11186"/>
    <n v="894.88"/>
    <n v="10291.120000000001"/>
    <n v="7990"/>
    <n v="2301.1200000000008"/>
    <d v="2014-08-01T00:00:00"/>
    <b v="1"/>
    <n v="8"/>
    <x v="5"/>
    <s v="2014"/>
    <n v="0"/>
  </r>
  <r>
    <x v="0"/>
    <x v="1"/>
    <x v="2"/>
    <s v="Medium"/>
    <n v="2409"/>
    <n v="10"/>
    <n v="7"/>
    <n v="16863"/>
    <n v="1349.04"/>
    <n v="15513.96"/>
    <n v="12045"/>
    <n v="3468.9599999999991"/>
    <d v="2013-09-01T00:00:00"/>
    <b v="1"/>
    <n v="9"/>
    <x v="6"/>
    <s v="2013"/>
    <n v="0"/>
  </r>
  <r>
    <x v="0"/>
    <x v="1"/>
    <x v="2"/>
    <s v="Medium"/>
    <n v="1934"/>
    <n v="10"/>
    <n v="20"/>
    <n v="38680"/>
    <n v="3094.4"/>
    <n v="35585.599999999999"/>
    <n v="19340"/>
    <n v="16245.599999999999"/>
    <d v="2014-09-01T00:00:00"/>
    <b v="1"/>
    <n v="9"/>
    <x v="6"/>
    <s v="2014"/>
    <n v="0"/>
  </r>
  <r>
    <x v="0"/>
    <x v="3"/>
    <x v="2"/>
    <s v="Medium"/>
    <n v="2993"/>
    <n v="10"/>
    <n v="20"/>
    <n v="59860"/>
    <n v="4788.8"/>
    <n v="55071.199999999997"/>
    <n v="29930"/>
    <n v="25141.199999999997"/>
    <d v="2014-09-01T00:00:00"/>
    <b v="1"/>
    <n v="9"/>
    <x v="6"/>
    <s v="2014"/>
    <n v="0"/>
  </r>
  <r>
    <x v="0"/>
    <x v="1"/>
    <x v="2"/>
    <s v="Medium"/>
    <n v="2146"/>
    <n v="10"/>
    <n v="350"/>
    <n v="751100"/>
    <n v="60088"/>
    <n v="691012"/>
    <n v="557960"/>
    <n v="133052"/>
    <d v="2013-11-01T00:00:00"/>
    <b v="1"/>
    <n v="11"/>
    <x v="9"/>
    <s v="2013"/>
    <n v="0"/>
  </r>
  <r>
    <x v="0"/>
    <x v="3"/>
    <x v="2"/>
    <s v="Medium"/>
    <n v="1946"/>
    <n v="10"/>
    <n v="7"/>
    <n v="13622"/>
    <n v="1089.76"/>
    <n v="12532.24"/>
    <n v="9730"/>
    <n v="2802.24"/>
    <d v="2013-12-01T00:00:00"/>
    <b v="1"/>
    <n v="12"/>
    <x v="2"/>
    <s v="2013"/>
    <n v="0"/>
  </r>
  <r>
    <x v="0"/>
    <x v="3"/>
    <x v="2"/>
    <s v="Medium"/>
    <n v="1362"/>
    <n v="10"/>
    <n v="350"/>
    <n v="476700"/>
    <n v="38136"/>
    <n v="438564"/>
    <n v="354120"/>
    <n v="84444"/>
    <d v="2014-12-01T00:00:00"/>
    <b v="1"/>
    <n v="12"/>
    <x v="2"/>
    <s v="2014"/>
    <n v="0"/>
  </r>
  <r>
    <x v="2"/>
    <x v="0"/>
    <x v="3"/>
    <s v="Medium"/>
    <n v="598"/>
    <n v="120"/>
    <n v="12"/>
    <n v="7176"/>
    <n v="574.08000000000004"/>
    <n v="6601.92"/>
    <n v="1794"/>
    <n v="4807.92"/>
    <d v="2014-03-01T00:00:00"/>
    <b v="1"/>
    <n v="3"/>
    <x v="3"/>
    <s v="2014"/>
    <n v="0"/>
  </r>
  <r>
    <x v="0"/>
    <x v="4"/>
    <x v="3"/>
    <s v="Medium"/>
    <n v="2907"/>
    <n v="120"/>
    <n v="7"/>
    <n v="20349"/>
    <n v="1627.92"/>
    <n v="18721.080000000002"/>
    <n v="14535"/>
    <n v="4186.0800000000017"/>
    <d v="2014-06-01T00:00:00"/>
    <b v="1"/>
    <n v="6"/>
    <x v="1"/>
    <s v="2014"/>
    <n v="0"/>
  </r>
  <r>
    <x v="0"/>
    <x v="1"/>
    <x v="3"/>
    <s v="Medium"/>
    <n v="2338"/>
    <n v="120"/>
    <n v="7"/>
    <n v="16366"/>
    <n v="1309.28"/>
    <n v="15056.72"/>
    <n v="11690"/>
    <n v="3366.7199999999993"/>
    <d v="2014-06-01T00:00:00"/>
    <b v="1"/>
    <n v="6"/>
    <x v="1"/>
    <s v="2014"/>
    <n v="0"/>
  </r>
  <r>
    <x v="4"/>
    <x v="2"/>
    <x v="3"/>
    <s v="Medium"/>
    <n v="386"/>
    <n v="120"/>
    <n v="300"/>
    <n v="115800"/>
    <n v="9264"/>
    <n v="106536"/>
    <n v="96500"/>
    <n v="10036"/>
    <d v="2013-11-01T00:00:00"/>
    <b v="1"/>
    <n v="11"/>
    <x v="9"/>
    <s v="2013"/>
    <n v="0"/>
  </r>
  <r>
    <x v="4"/>
    <x v="3"/>
    <x v="3"/>
    <s v="Medium"/>
    <n v="635"/>
    <n v="120"/>
    <n v="300"/>
    <n v="190500"/>
    <n v="15240"/>
    <n v="175260"/>
    <n v="158750"/>
    <n v="16510"/>
    <d v="2014-12-01T00:00:00"/>
    <b v="1"/>
    <n v="12"/>
    <x v="2"/>
    <s v="2014"/>
    <n v="0"/>
  </r>
  <r>
    <x v="0"/>
    <x v="2"/>
    <x v="4"/>
    <s v="Medium"/>
    <n v="574.5"/>
    <n v="250"/>
    <n v="350"/>
    <n v="201075"/>
    <n v="16086"/>
    <n v="184989"/>
    <n v="149370"/>
    <n v="35619"/>
    <d v="2014-04-01T00:00:00"/>
    <b v="1"/>
    <n v="4"/>
    <x v="10"/>
    <s v="2014"/>
    <n v="0"/>
  </r>
  <r>
    <x v="0"/>
    <x v="1"/>
    <x v="4"/>
    <s v="Medium"/>
    <n v="2338"/>
    <n v="250"/>
    <n v="7"/>
    <n v="16366"/>
    <n v="1309.28"/>
    <n v="15056.72"/>
    <n v="11690"/>
    <n v="3366.7199999999993"/>
    <d v="2014-06-01T00:00:00"/>
    <b v="1"/>
    <n v="6"/>
    <x v="1"/>
    <s v="2014"/>
    <n v="0"/>
  </r>
  <r>
    <x v="0"/>
    <x v="2"/>
    <x v="4"/>
    <s v="Medium"/>
    <n v="381"/>
    <n v="250"/>
    <n v="350"/>
    <n v="133350"/>
    <n v="10668"/>
    <n v="122682"/>
    <n v="99060"/>
    <n v="23622"/>
    <d v="2014-08-01T00:00:00"/>
    <b v="1"/>
    <n v="8"/>
    <x v="5"/>
    <s v="2014"/>
    <n v="0"/>
  </r>
  <r>
    <x v="0"/>
    <x v="1"/>
    <x v="4"/>
    <s v="Medium"/>
    <n v="422"/>
    <n v="250"/>
    <n v="350"/>
    <n v="147700"/>
    <n v="11816"/>
    <n v="135884"/>
    <n v="109720"/>
    <n v="26164"/>
    <d v="2014-08-01T00:00:00"/>
    <b v="1"/>
    <n v="8"/>
    <x v="5"/>
    <s v="2014"/>
    <n v="0"/>
  </r>
  <r>
    <x v="4"/>
    <x v="0"/>
    <x v="4"/>
    <s v="Medium"/>
    <n v="2134"/>
    <n v="250"/>
    <n v="300"/>
    <n v="640200"/>
    <n v="51216"/>
    <n v="588984"/>
    <n v="533500"/>
    <n v="55484"/>
    <d v="2014-09-01T00:00:00"/>
    <b v="1"/>
    <n v="9"/>
    <x v="6"/>
    <s v="2014"/>
    <n v="0"/>
  </r>
  <r>
    <x v="4"/>
    <x v="4"/>
    <x v="4"/>
    <s v="Medium"/>
    <n v="808"/>
    <n v="250"/>
    <n v="300"/>
    <n v="242400"/>
    <n v="19392"/>
    <n v="223008"/>
    <n v="202000"/>
    <n v="21008"/>
    <d v="2013-12-01T00:00:00"/>
    <b v="1"/>
    <n v="12"/>
    <x v="2"/>
    <s v="2013"/>
    <n v="0"/>
  </r>
  <r>
    <x v="0"/>
    <x v="0"/>
    <x v="5"/>
    <s v="Medium"/>
    <n v="708"/>
    <n v="260"/>
    <n v="20"/>
    <n v="14160"/>
    <n v="1132.8"/>
    <n v="13027.2"/>
    <n v="7080"/>
    <n v="5947.2000000000007"/>
    <d v="2014-06-01T00:00:00"/>
    <b v="1"/>
    <n v="6"/>
    <x v="1"/>
    <s v="2014"/>
    <n v="0"/>
  </r>
  <r>
    <x v="0"/>
    <x v="4"/>
    <x v="5"/>
    <s v="Medium"/>
    <n v="2907"/>
    <n v="260"/>
    <n v="7"/>
    <n v="20349"/>
    <n v="1627.92"/>
    <n v="18721.080000000002"/>
    <n v="14535"/>
    <n v="4186.0800000000017"/>
    <d v="2014-06-01T00:00:00"/>
    <b v="1"/>
    <n v="6"/>
    <x v="1"/>
    <s v="2014"/>
    <n v="0"/>
  </r>
  <r>
    <x v="0"/>
    <x v="1"/>
    <x v="5"/>
    <s v="Medium"/>
    <n v="1366"/>
    <n v="260"/>
    <n v="20"/>
    <n v="27320"/>
    <n v="2185.6"/>
    <n v="25134.400000000001"/>
    <n v="13660"/>
    <n v="11474.400000000001"/>
    <d v="2014-06-01T00:00:00"/>
    <b v="1"/>
    <n v="6"/>
    <x v="1"/>
    <s v="2014"/>
    <n v="0"/>
  </r>
  <r>
    <x v="4"/>
    <x v="3"/>
    <x v="5"/>
    <s v="Medium"/>
    <n v="2460"/>
    <n v="260"/>
    <n v="300"/>
    <n v="738000"/>
    <n v="59040"/>
    <n v="678960"/>
    <n v="615000"/>
    <n v="63960"/>
    <d v="2014-06-01T00:00:00"/>
    <b v="1"/>
    <n v="6"/>
    <x v="1"/>
    <s v="2014"/>
    <n v="0"/>
  </r>
  <r>
    <x v="0"/>
    <x v="1"/>
    <x v="5"/>
    <s v="Medium"/>
    <n v="1520"/>
    <n v="260"/>
    <n v="20"/>
    <n v="30400"/>
    <n v="2432"/>
    <n v="27968"/>
    <n v="15200"/>
    <n v="12768"/>
    <d v="2014-11-01T00:00:00"/>
    <b v="1"/>
    <n v="11"/>
    <x v="9"/>
    <s v="2014"/>
    <n v="0"/>
  </r>
  <r>
    <x v="1"/>
    <x v="1"/>
    <x v="5"/>
    <s v="Medium"/>
    <n v="711"/>
    <n v="260"/>
    <n v="15"/>
    <n v="10665"/>
    <n v="853.2"/>
    <n v="9811.7999999999993"/>
    <n v="7110"/>
    <n v="2701.7999999999993"/>
    <d v="2014-12-01T00:00:00"/>
    <b v="1"/>
    <n v="12"/>
    <x v="2"/>
    <s v="2014"/>
    <n v="0"/>
  </r>
  <r>
    <x v="2"/>
    <x v="3"/>
    <x v="5"/>
    <s v="Medium"/>
    <n v="1375"/>
    <n v="260"/>
    <n v="12"/>
    <n v="16500"/>
    <n v="1320"/>
    <n v="15180"/>
    <n v="4125"/>
    <n v="11055"/>
    <d v="2013-12-01T00:00:00"/>
    <b v="1"/>
    <n v="12"/>
    <x v="2"/>
    <s v="2013"/>
    <n v="0"/>
  </r>
  <r>
    <x v="4"/>
    <x v="3"/>
    <x v="5"/>
    <s v="Medium"/>
    <n v="635"/>
    <n v="260"/>
    <n v="300"/>
    <n v="190500"/>
    <n v="15240"/>
    <n v="175260"/>
    <n v="158750"/>
    <n v="16510"/>
    <d v="2014-12-01T00:00:00"/>
    <b v="1"/>
    <n v="12"/>
    <x v="2"/>
    <s v="2014"/>
    <n v="0"/>
  </r>
  <r>
    <x v="0"/>
    <x v="4"/>
    <x v="4"/>
    <s v="Medium"/>
    <n v="436.5"/>
    <n v="250"/>
    <n v="20"/>
    <n v="8730"/>
    <n v="698.40000000000009"/>
    <n v="8031.5999999999995"/>
    <n v="4365"/>
    <n v="3666.5999999999995"/>
    <d v="2014-07-01T00:00:00"/>
    <b v="1"/>
    <n v="7"/>
    <x v="4"/>
    <s v="2014"/>
    <n v="0"/>
  </r>
  <r>
    <x v="4"/>
    <x v="0"/>
    <x v="0"/>
    <s v="Medium"/>
    <n v="1094"/>
    <n v="3"/>
    <n v="300"/>
    <n v="328200"/>
    <n v="29538"/>
    <n v="298662"/>
    <n v="273500"/>
    <n v="25162"/>
    <d v="2014-06-01T00:00:00"/>
    <b v="1"/>
    <n v="6"/>
    <x v="1"/>
    <s v="2014"/>
    <n v="0"/>
  </r>
  <r>
    <x v="2"/>
    <x v="3"/>
    <x v="0"/>
    <s v="Medium"/>
    <n v="367"/>
    <n v="3"/>
    <n v="12"/>
    <n v="4404"/>
    <n v="396.36"/>
    <n v="4007.64"/>
    <n v="1101"/>
    <n v="2906.64"/>
    <d v="2013-10-01T00:00:00"/>
    <b v="1"/>
    <n v="10"/>
    <x v="7"/>
    <s v="2013"/>
    <n v="0"/>
  </r>
  <r>
    <x v="4"/>
    <x v="0"/>
    <x v="1"/>
    <s v="Medium"/>
    <n v="3802.5"/>
    <n v="5"/>
    <n v="300"/>
    <n v="1140750"/>
    <n v="102667.5"/>
    <n v="1038082.5"/>
    <n v="950625"/>
    <n v="87457.5"/>
    <d v="2014-04-01T00:00:00"/>
    <b v="1"/>
    <n v="4"/>
    <x v="10"/>
    <s v="2014"/>
    <n v="0"/>
  </r>
  <r>
    <x v="0"/>
    <x v="2"/>
    <x v="1"/>
    <s v="Medium"/>
    <n v="1666"/>
    <n v="5"/>
    <n v="350"/>
    <n v="583100"/>
    <n v="52479"/>
    <n v="530621"/>
    <n v="433160"/>
    <n v="97461"/>
    <d v="2014-05-01T00:00:00"/>
    <b v="1"/>
    <n v="5"/>
    <x v="11"/>
    <s v="2014"/>
    <n v="0"/>
  </r>
  <r>
    <x v="4"/>
    <x v="2"/>
    <x v="1"/>
    <s v="Medium"/>
    <n v="322"/>
    <n v="5"/>
    <n v="300"/>
    <n v="96600"/>
    <n v="8694"/>
    <n v="87906"/>
    <n v="80500"/>
    <n v="7406"/>
    <d v="2013-09-01T00:00:00"/>
    <b v="1"/>
    <n v="9"/>
    <x v="6"/>
    <s v="2013"/>
    <n v="0"/>
  </r>
  <r>
    <x v="2"/>
    <x v="0"/>
    <x v="1"/>
    <s v="Medium"/>
    <n v="2321"/>
    <n v="5"/>
    <n v="12"/>
    <n v="27852"/>
    <n v="2506.6799999999998"/>
    <n v="25345.32"/>
    <n v="6963"/>
    <n v="18382.32"/>
    <d v="2014-11-01T00:00:00"/>
    <b v="1"/>
    <n v="11"/>
    <x v="9"/>
    <s v="2014"/>
    <n v="0"/>
  </r>
  <r>
    <x v="3"/>
    <x v="2"/>
    <x v="1"/>
    <s v="Medium"/>
    <n v="1857"/>
    <n v="5"/>
    <n v="125"/>
    <n v="232125"/>
    <n v="20891.25"/>
    <n v="211233.75"/>
    <n v="222840"/>
    <n v="-11606.25"/>
    <d v="2013-11-01T00:00:00"/>
    <b v="1"/>
    <n v="11"/>
    <x v="9"/>
    <s v="2013"/>
    <n v="0"/>
  </r>
  <r>
    <x v="0"/>
    <x v="0"/>
    <x v="1"/>
    <s v="Medium"/>
    <n v="1611"/>
    <n v="5"/>
    <n v="7"/>
    <n v="11277"/>
    <n v="1014.93"/>
    <n v="10262.07"/>
    <n v="8055"/>
    <n v="2207.0699999999997"/>
    <d v="2013-12-01T00:00:00"/>
    <b v="1"/>
    <n v="12"/>
    <x v="2"/>
    <s v="2013"/>
    <n v="0"/>
  </r>
  <r>
    <x v="3"/>
    <x v="4"/>
    <x v="1"/>
    <s v="Medium"/>
    <n v="2797"/>
    <n v="5"/>
    <n v="125"/>
    <n v="349625"/>
    <n v="31466.25"/>
    <n v="318158.75"/>
    <n v="335640"/>
    <n v="-17481.25"/>
    <d v="2014-12-01T00:00:00"/>
    <b v="1"/>
    <n v="12"/>
    <x v="2"/>
    <s v="2014"/>
    <n v="0"/>
  </r>
  <r>
    <x v="4"/>
    <x v="1"/>
    <x v="1"/>
    <s v="Medium"/>
    <n v="334"/>
    <n v="5"/>
    <n v="300"/>
    <n v="100200"/>
    <n v="9018"/>
    <n v="91182"/>
    <n v="83500"/>
    <n v="7682"/>
    <d v="2013-12-01T00:00:00"/>
    <b v="1"/>
    <n v="12"/>
    <x v="2"/>
    <s v="2013"/>
    <n v="0"/>
  </r>
  <r>
    <x v="4"/>
    <x v="3"/>
    <x v="2"/>
    <s v="Medium"/>
    <n v="2565"/>
    <n v="10"/>
    <n v="300"/>
    <n v="769500"/>
    <n v="69255"/>
    <n v="700245"/>
    <n v="641250"/>
    <n v="58995"/>
    <d v="2014-01-01T00:00:00"/>
    <b v="1"/>
    <n v="1"/>
    <x v="0"/>
    <s v="2014"/>
    <n v="0"/>
  </r>
  <r>
    <x v="0"/>
    <x v="3"/>
    <x v="2"/>
    <s v="Medium"/>
    <n v="2417"/>
    <n v="10"/>
    <n v="350"/>
    <n v="845950"/>
    <n v="76135.5"/>
    <n v="769814.5"/>
    <n v="628420"/>
    <n v="141394.5"/>
    <d v="2014-01-01T00:00:00"/>
    <b v="1"/>
    <n v="1"/>
    <x v="0"/>
    <s v="2014"/>
    <n v="0"/>
  </r>
  <r>
    <x v="1"/>
    <x v="4"/>
    <x v="2"/>
    <s v="Medium"/>
    <n v="3675"/>
    <n v="10"/>
    <n v="15"/>
    <n v="55125"/>
    <n v="4961.25"/>
    <n v="50163.75"/>
    <n v="36750"/>
    <n v="13413.75"/>
    <d v="2014-04-01T00:00:00"/>
    <b v="1"/>
    <n v="4"/>
    <x v="10"/>
    <s v="2014"/>
    <n v="0"/>
  </r>
  <r>
    <x v="4"/>
    <x v="0"/>
    <x v="2"/>
    <s v="Medium"/>
    <n v="1094"/>
    <n v="10"/>
    <n v="300"/>
    <n v="328200"/>
    <n v="29538"/>
    <n v="298662"/>
    <n v="273500"/>
    <n v="25162"/>
    <d v="2014-06-01T00:00:00"/>
    <b v="1"/>
    <n v="6"/>
    <x v="1"/>
    <s v="2014"/>
    <n v="0"/>
  </r>
  <r>
    <x v="1"/>
    <x v="2"/>
    <x v="2"/>
    <s v="Medium"/>
    <n v="1227"/>
    <n v="10"/>
    <n v="15"/>
    <n v="18405"/>
    <n v="1656.45"/>
    <n v="16748.55"/>
    <n v="12270"/>
    <n v="4478.5499999999993"/>
    <d v="2014-10-01T00:00:00"/>
    <b v="1"/>
    <n v="10"/>
    <x v="7"/>
    <s v="2014"/>
    <n v="0"/>
  </r>
  <r>
    <x v="2"/>
    <x v="3"/>
    <x v="2"/>
    <s v="Medium"/>
    <n v="367"/>
    <n v="10"/>
    <n v="12"/>
    <n v="4404"/>
    <n v="396.36"/>
    <n v="4007.64"/>
    <n v="1101"/>
    <n v="2906.64"/>
    <d v="2013-10-01T00:00:00"/>
    <b v="1"/>
    <n v="10"/>
    <x v="7"/>
    <s v="2013"/>
    <n v="0"/>
  </r>
  <r>
    <x v="4"/>
    <x v="2"/>
    <x v="2"/>
    <s v="Medium"/>
    <n v="1324"/>
    <n v="10"/>
    <n v="300"/>
    <n v="397200"/>
    <n v="35748"/>
    <n v="361452"/>
    <n v="331000"/>
    <n v="30452"/>
    <d v="2014-11-01T00:00:00"/>
    <b v="1"/>
    <n v="11"/>
    <x v="9"/>
    <s v="2014"/>
    <n v="0"/>
  </r>
  <r>
    <x v="2"/>
    <x v="1"/>
    <x v="2"/>
    <s v="Medium"/>
    <n v="1775"/>
    <n v="10"/>
    <n v="12"/>
    <n v="21300"/>
    <n v="1917"/>
    <n v="19383"/>
    <n v="5325"/>
    <n v="14058"/>
    <d v="2013-11-01T00:00:00"/>
    <b v="1"/>
    <n v="11"/>
    <x v="9"/>
    <s v="2013"/>
    <n v="0"/>
  </r>
  <r>
    <x v="3"/>
    <x v="4"/>
    <x v="2"/>
    <s v="Medium"/>
    <n v="2797"/>
    <n v="10"/>
    <n v="125"/>
    <n v="349625"/>
    <n v="31466.25"/>
    <n v="318158.75"/>
    <n v="335640"/>
    <n v="-17481.25"/>
    <d v="2014-12-01T00:00:00"/>
    <b v="1"/>
    <n v="12"/>
    <x v="2"/>
    <s v="2014"/>
    <n v="0"/>
  </r>
  <r>
    <x v="1"/>
    <x v="3"/>
    <x v="3"/>
    <s v="Medium"/>
    <n v="245"/>
    <n v="120"/>
    <n v="15"/>
    <n v="3675"/>
    <n v="330.75"/>
    <n v="3344.25"/>
    <n v="2450"/>
    <n v="894.25"/>
    <d v="2014-05-01T00:00:00"/>
    <b v="1"/>
    <n v="5"/>
    <x v="11"/>
    <s v="2014"/>
    <n v="0"/>
  </r>
  <r>
    <x v="4"/>
    <x v="0"/>
    <x v="3"/>
    <s v="Medium"/>
    <n v="3793.5"/>
    <n v="120"/>
    <n v="300"/>
    <n v="1138050"/>
    <n v="102424.5"/>
    <n v="1035625.5"/>
    <n v="948375"/>
    <n v="87250.5"/>
    <d v="2014-07-01T00:00:00"/>
    <b v="1"/>
    <n v="7"/>
    <x v="4"/>
    <s v="2014"/>
    <n v="0"/>
  </r>
  <r>
    <x v="0"/>
    <x v="1"/>
    <x v="3"/>
    <s v="Medium"/>
    <n v="1307"/>
    <n v="120"/>
    <n v="350"/>
    <n v="457450"/>
    <n v="41170.5"/>
    <n v="416279.5"/>
    <n v="339820"/>
    <n v="76459.5"/>
    <d v="2014-07-01T00:00:00"/>
    <b v="1"/>
    <n v="7"/>
    <x v="4"/>
    <s v="2014"/>
    <n v="0"/>
  </r>
  <r>
    <x v="3"/>
    <x v="0"/>
    <x v="3"/>
    <s v="Medium"/>
    <n v="567"/>
    <n v="120"/>
    <n v="125"/>
    <n v="70875"/>
    <n v="6378.75"/>
    <n v="64496.25"/>
    <n v="68040"/>
    <n v="-3543.75"/>
    <d v="2014-09-01T00:00:00"/>
    <b v="1"/>
    <n v="9"/>
    <x v="6"/>
    <s v="2014"/>
    <n v="0"/>
  </r>
  <r>
    <x v="3"/>
    <x v="3"/>
    <x v="3"/>
    <s v="Medium"/>
    <n v="2110"/>
    <n v="120"/>
    <n v="125"/>
    <n v="263750"/>
    <n v="23737.5"/>
    <n v="240012.5"/>
    <n v="253200"/>
    <n v="-13187.5"/>
    <d v="2014-09-01T00:00:00"/>
    <b v="1"/>
    <n v="9"/>
    <x v="6"/>
    <s v="2014"/>
    <n v="0"/>
  </r>
  <r>
    <x v="0"/>
    <x v="0"/>
    <x v="3"/>
    <s v="Medium"/>
    <n v="1269"/>
    <n v="120"/>
    <n v="350"/>
    <n v="444150"/>
    <n v="39973.5"/>
    <n v="404176.5"/>
    <n v="329940"/>
    <n v="74236.5"/>
    <d v="2014-10-01T00:00:00"/>
    <b v="1"/>
    <n v="10"/>
    <x v="7"/>
    <s v="2014"/>
    <n v="0"/>
  </r>
  <r>
    <x v="2"/>
    <x v="4"/>
    <x v="4"/>
    <s v="Medium"/>
    <n v="1956"/>
    <n v="250"/>
    <n v="12"/>
    <n v="23472"/>
    <n v="2112.48"/>
    <n v="21359.52"/>
    <n v="5868"/>
    <n v="15491.52"/>
    <d v="2014-01-01T00:00:00"/>
    <b v="1"/>
    <n v="1"/>
    <x v="0"/>
    <s v="2014"/>
    <n v="0"/>
  </r>
  <r>
    <x v="4"/>
    <x v="1"/>
    <x v="4"/>
    <s v="Medium"/>
    <n v="2659"/>
    <n v="250"/>
    <n v="300"/>
    <n v="797700"/>
    <n v="71793"/>
    <n v="725907"/>
    <n v="664750"/>
    <n v="61157"/>
    <d v="2014-02-01T00:00:00"/>
    <b v="1"/>
    <n v="2"/>
    <x v="8"/>
    <s v="2014"/>
    <n v="0"/>
  </r>
  <r>
    <x v="0"/>
    <x v="4"/>
    <x v="4"/>
    <s v="Medium"/>
    <n v="1351.5"/>
    <n v="250"/>
    <n v="350"/>
    <n v="473025"/>
    <n v="42572.25"/>
    <n v="430452.75"/>
    <n v="351390"/>
    <n v="79062.75"/>
    <d v="2014-04-01T00:00:00"/>
    <b v="1"/>
    <n v="4"/>
    <x v="10"/>
    <s v="2014"/>
    <n v="0"/>
  </r>
  <r>
    <x v="2"/>
    <x v="1"/>
    <x v="4"/>
    <s v="Medium"/>
    <n v="880"/>
    <n v="250"/>
    <n v="12"/>
    <n v="10560"/>
    <n v="950.4"/>
    <n v="9609.6"/>
    <n v="2640"/>
    <n v="6969.6"/>
    <d v="2014-05-01T00:00:00"/>
    <b v="1"/>
    <n v="5"/>
    <x v="11"/>
    <s v="2014"/>
    <n v="0"/>
  </r>
  <r>
    <x v="4"/>
    <x v="4"/>
    <x v="4"/>
    <s v="Medium"/>
    <n v="1867"/>
    <n v="250"/>
    <n v="300"/>
    <n v="560100"/>
    <n v="50409"/>
    <n v="509691"/>
    <n v="466750"/>
    <n v="42941"/>
    <d v="2014-09-01T00:00:00"/>
    <b v="1"/>
    <n v="9"/>
    <x v="6"/>
    <s v="2014"/>
    <n v="0"/>
  </r>
  <r>
    <x v="2"/>
    <x v="2"/>
    <x v="4"/>
    <s v="Medium"/>
    <n v="2234"/>
    <n v="250"/>
    <n v="12"/>
    <n v="26808"/>
    <n v="2412.7199999999998"/>
    <n v="24395.279999999999"/>
    <n v="6702"/>
    <n v="17693.28"/>
    <d v="2013-09-01T00:00:00"/>
    <b v="1"/>
    <n v="9"/>
    <x v="6"/>
    <s v="2013"/>
    <n v="0"/>
  </r>
  <r>
    <x v="1"/>
    <x v="2"/>
    <x v="4"/>
    <s v="Medium"/>
    <n v="1227"/>
    <n v="250"/>
    <n v="15"/>
    <n v="18405"/>
    <n v="1656.45"/>
    <n v="16748.55"/>
    <n v="12270"/>
    <n v="4478.5499999999993"/>
    <d v="2014-10-01T00:00:00"/>
    <b v="1"/>
    <n v="10"/>
    <x v="7"/>
    <s v="2014"/>
    <n v="0"/>
  </r>
  <r>
    <x v="3"/>
    <x v="3"/>
    <x v="4"/>
    <s v="Medium"/>
    <n v="877"/>
    <n v="250"/>
    <n v="125"/>
    <n v="109625"/>
    <n v="9866.25"/>
    <n v="99758.75"/>
    <n v="105240"/>
    <n v="-5481.25"/>
    <d v="2014-11-01T00:00:00"/>
    <b v="1"/>
    <n v="11"/>
    <x v="9"/>
    <s v="2014"/>
    <n v="0"/>
  </r>
  <r>
    <x v="0"/>
    <x v="4"/>
    <x v="5"/>
    <s v="Medium"/>
    <n v="2071"/>
    <n v="260"/>
    <n v="350"/>
    <n v="724850"/>
    <n v="65236.5"/>
    <n v="659613.5"/>
    <n v="538460"/>
    <n v="121153.5"/>
    <d v="2014-09-01T00:00:00"/>
    <b v="1"/>
    <n v="9"/>
    <x v="6"/>
    <s v="2014"/>
    <n v="0"/>
  </r>
  <r>
    <x v="0"/>
    <x v="0"/>
    <x v="5"/>
    <s v="Medium"/>
    <n v="1269"/>
    <n v="260"/>
    <n v="350"/>
    <n v="444150"/>
    <n v="39973.5"/>
    <n v="404176.5"/>
    <n v="329940"/>
    <n v="74236.5"/>
    <d v="2014-10-01T00:00:00"/>
    <b v="1"/>
    <n v="10"/>
    <x v="7"/>
    <s v="2014"/>
    <n v="0"/>
  </r>
  <r>
    <x v="1"/>
    <x v="1"/>
    <x v="5"/>
    <s v="Medium"/>
    <n v="970"/>
    <n v="260"/>
    <n v="15"/>
    <n v="14550"/>
    <n v="1309.5"/>
    <n v="13240.5"/>
    <n v="9700"/>
    <n v="3540.5"/>
    <d v="2013-11-01T00:00:00"/>
    <b v="1"/>
    <n v="11"/>
    <x v="9"/>
    <s v="2013"/>
    <n v="0"/>
  </r>
  <r>
    <x v="0"/>
    <x v="3"/>
    <x v="5"/>
    <s v="Medium"/>
    <n v="1694"/>
    <n v="260"/>
    <n v="20"/>
    <n v="33880"/>
    <n v="3049.2"/>
    <n v="30830.799999999999"/>
    <n v="16940"/>
    <n v="13890.8"/>
    <d v="2014-11-01T00:00:00"/>
    <b v="1"/>
    <n v="11"/>
    <x v="9"/>
    <s v="2014"/>
    <n v="0"/>
  </r>
  <r>
    <x v="0"/>
    <x v="1"/>
    <x v="0"/>
    <s v="Medium"/>
    <n v="663"/>
    <n v="3"/>
    <n v="20"/>
    <n v="13260"/>
    <n v="1193.4000000000001"/>
    <n v="12066.6"/>
    <n v="6630"/>
    <n v="5436.6"/>
    <d v="2014-05-01T00:00:00"/>
    <b v="1"/>
    <n v="5"/>
    <x v="11"/>
    <s v="2014"/>
    <n v="0"/>
  </r>
  <r>
    <x v="0"/>
    <x v="0"/>
    <x v="0"/>
    <s v="Medium"/>
    <n v="819"/>
    <n v="3"/>
    <n v="7"/>
    <n v="5733"/>
    <n v="515.97"/>
    <n v="5217.03"/>
    <n v="4095"/>
    <n v="1122.03"/>
    <d v="2014-07-01T00:00:00"/>
    <b v="1"/>
    <n v="7"/>
    <x v="4"/>
    <s v="2014"/>
    <n v="0"/>
  </r>
  <r>
    <x v="2"/>
    <x v="1"/>
    <x v="0"/>
    <s v="Medium"/>
    <n v="1580"/>
    <n v="3"/>
    <n v="12"/>
    <n v="18960"/>
    <n v="1706.4"/>
    <n v="17253.599999999999"/>
    <n v="4740"/>
    <n v="12513.599999999999"/>
    <d v="2014-09-01T00:00:00"/>
    <b v="1"/>
    <n v="9"/>
    <x v="6"/>
    <s v="2014"/>
    <n v="0"/>
  </r>
  <r>
    <x v="0"/>
    <x v="3"/>
    <x v="0"/>
    <s v="Medium"/>
    <n v="521"/>
    <n v="3"/>
    <n v="7"/>
    <n v="3647"/>
    <n v="328.23"/>
    <n v="3318.77"/>
    <n v="2605"/>
    <n v="713.77"/>
    <d v="2014-12-01T00:00:00"/>
    <b v="1"/>
    <n v="12"/>
    <x v="2"/>
    <s v="2014"/>
    <n v="0"/>
  </r>
  <r>
    <x v="0"/>
    <x v="4"/>
    <x v="2"/>
    <s v="Medium"/>
    <n v="973"/>
    <n v="10"/>
    <n v="20"/>
    <n v="19460"/>
    <n v="1751.4"/>
    <n v="17708.599999999999"/>
    <n v="9730"/>
    <n v="7978.5999999999985"/>
    <d v="2014-03-01T00:00:00"/>
    <b v="1"/>
    <n v="3"/>
    <x v="3"/>
    <s v="2014"/>
    <n v="0"/>
  </r>
  <r>
    <x v="0"/>
    <x v="3"/>
    <x v="2"/>
    <s v="Medium"/>
    <n v="1038"/>
    <n v="10"/>
    <n v="20"/>
    <n v="20760"/>
    <n v="1868.4"/>
    <n v="18891.599999999999"/>
    <n v="10380"/>
    <n v="8511.5999999999985"/>
    <d v="2014-06-01T00:00:00"/>
    <b v="1"/>
    <n v="6"/>
    <x v="1"/>
    <s v="2014"/>
    <n v="0"/>
  </r>
  <r>
    <x v="0"/>
    <x v="1"/>
    <x v="2"/>
    <s v="Medium"/>
    <n v="360"/>
    <n v="10"/>
    <n v="7"/>
    <n v="2520"/>
    <n v="226.8"/>
    <n v="2293.1999999999998"/>
    <n v="1800"/>
    <n v="493.19999999999982"/>
    <d v="2014-10-01T00:00:00"/>
    <b v="1"/>
    <n v="10"/>
    <x v="7"/>
    <s v="2014"/>
    <n v="0"/>
  </r>
  <r>
    <x v="2"/>
    <x v="2"/>
    <x v="3"/>
    <s v="Medium"/>
    <n v="1967"/>
    <n v="120"/>
    <n v="12"/>
    <n v="23604"/>
    <n v="2124.36"/>
    <n v="21479.64"/>
    <n v="5901"/>
    <n v="15578.64"/>
    <d v="2014-03-01T00:00:00"/>
    <b v="1"/>
    <n v="3"/>
    <x v="3"/>
    <s v="2014"/>
    <n v="0"/>
  </r>
  <r>
    <x v="1"/>
    <x v="3"/>
    <x v="3"/>
    <s v="Medium"/>
    <n v="2628"/>
    <n v="120"/>
    <n v="15"/>
    <n v="39420"/>
    <n v="3547.8"/>
    <n v="35872.199999999997"/>
    <n v="26280"/>
    <n v="9592.1999999999971"/>
    <d v="2014-04-01T00:00:00"/>
    <b v="1"/>
    <n v="4"/>
    <x v="10"/>
    <s v="2014"/>
    <n v="0"/>
  </r>
  <r>
    <x v="0"/>
    <x v="1"/>
    <x v="4"/>
    <s v="Medium"/>
    <n v="360"/>
    <n v="250"/>
    <n v="7"/>
    <n v="2520"/>
    <n v="226.8"/>
    <n v="2293.1999999999998"/>
    <n v="1800"/>
    <n v="493.19999999999982"/>
    <d v="2014-10-01T00:00:00"/>
    <b v="1"/>
    <n v="10"/>
    <x v="7"/>
    <s v="2014"/>
    <n v="0"/>
  </r>
  <r>
    <x v="0"/>
    <x v="2"/>
    <x v="4"/>
    <s v="Medium"/>
    <n v="2682"/>
    <n v="250"/>
    <n v="20"/>
    <n v="53640"/>
    <n v="4827.6000000000004"/>
    <n v="48812.4"/>
    <n v="26820"/>
    <n v="21992.400000000001"/>
    <d v="2013-11-01T00:00:00"/>
    <b v="1"/>
    <n v="11"/>
    <x v="9"/>
    <s v="2013"/>
    <n v="0"/>
  </r>
  <r>
    <x v="0"/>
    <x v="3"/>
    <x v="4"/>
    <s v="Medium"/>
    <n v="521"/>
    <n v="250"/>
    <n v="7"/>
    <n v="3647"/>
    <n v="328.23"/>
    <n v="3318.77"/>
    <n v="2605"/>
    <n v="713.77"/>
    <d v="2014-12-01T00:00:00"/>
    <b v="1"/>
    <n v="12"/>
    <x v="2"/>
    <s v="2014"/>
    <n v="0"/>
  </r>
  <r>
    <x v="0"/>
    <x v="3"/>
    <x v="5"/>
    <s v="Medium"/>
    <n v="1038"/>
    <n v="260"/>
    <n v="20"/>
    <n v="20760"/>
    <n v="1868.4"/>
    <n v="18891.599999999999"/>
    <n v="10380"/>
    <n v="8511.5999999999985"/>
    <d v="2014-06-01T00:00:00"/>
    <b v="1"/>
    <n v="6"/>
    <x v="1"/>
    <s v="2014"/>
    <n v="0"/>
  </r>
  <r>
    <x v="1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b v="1"/>
    <n v="7"/>
    <x v="4"/>
    <s v="2014"/>
    <n v="0"/>
  </r>
  <r>
    <x v="2"/>
    <x v="2"/>
    <x v="5"/>
    <s v="Medium"/>
    <n v="306"/>
    <n v="260"/>
    <n v="12"/>
    <n v="3672"/>
    <n v="330.48"/>
    <n v="3341.52"/>
    <n v="918"/>
    <n v="2423.52"/>
    <d v="2013-12-01T00:00:00"/>
    <b v="1"/>
    <n v="12"/>
    <x v="2"/>
    <s v="2013"/>
    <n v="0"/>
  </r>
  <r>
    <x v="2"/>
    <x v="4"/>
    <x v="0"/>
    <s v="High"/>
    <n v="386"/>
    <n v="3"/>
    <n v="12"/>
    <n v="4632"/>
    <n v="463.2"/>
    <n v="4168.8"/>
    <n v="1158"/>
    <n v="3010.8"/>
    <d v="2013-10-01T00:00:00"/>
    <b v="1"/>
    <n v="10"/>
    <x v="7"/>
    <s v="2013"/>
    <n v="0"/>
  </r>
  <r>
    <x v="0"/>
    <x v="4"/>
    <x v="1"/>
    <s v="High"/>
    <n v="2328"/>
    <n v="5"/>
    <n v="7"/>
    <n v="16296"/>
    <n v="1629.6"/>
    <n v="14666.4"/>
    <n v="11640"/>
    <n v="3026.3999999999996"/>
    <d v="2014-09-01T00:00:00"/>
    <b v="1"/>
    <n v="9"/>
    <x v="6"/>
    <s v="2014"/>
    <n v="0"/>
  </r>
  <r>
    <x v="2"/>
    <x v="4"/>
    <x v="2"/>
    <s v="High"/>
    <n v="386"/>
    <n v="10"/>
    <n v="12"/>
    <n v="4632"/>
    <n v="463.2"/>
    <n v="4168.8"/>
    <n v="1158"/>
    <n v="3010.8"/>
    <d v="2013-10-01T00:00:00"/>
    <b v="1"/>
    <n v="10"/>
    <x v="7"/>
    <s v="2013"/>
    <n v="0"/>
  </r>
  <r>
    <x v="3"/>
    <x v="4"/>
    <x v="0"/>
    <s v="High"/>
    <n v="3445.5"/>
    <n v="3"/>
    <n v="125"/>
    <n v="430687.5"/>
    <n v="43068.75"/>
    <n v="387618.75"/>
    <n v="413460"/>
    <n v="-25841.25"/>
    <d v="2014-04-01T00:00:00"/>
    <b v="1"/>
    <n v="4"/>
    <x v="10"/>
    <s v="2014"/>
    <n v="0"/>
  </r>
  <r>
    <x v="3"/>
    <x v="2"/>
    <x v="0"/>
    <s v="High"/>
    <n v="1482"/>
    <n v="3"/>
    <n v="125"/>
    <n v="185250"/>
    <n v="18525"/>
    <n v="166725"/>
    <n v="177840"/>
    <n v="-11115"/>
    <d v="2013-12-01T00:00:00"/>
    <b v="1"/>
    <n v="12"/>
    <x v="2"/>
    <s v="2013"/>
    <n v="0"/>
  </r>
  <r>
    <x v="0"/>
    <x v="4"/>
    <x v="1"/>
    <s v="High"/>
    <n v="2313"/>
    <n v="5"/>
    <n v="350"/>
    <n v="809550"/>
    <n v="80955"/>
    <n v="728595"/>
    <n v="601380"/>
    <n v="127215"/>
    <d v="2014-05-01T00:00:00"/>
    <b v="1"/>
    <n v="5"/>
    <x v="11"/>
    <s v="2014"/>
    <n v="0"/>
  </r>
  <r>
    <x v="3"/>
    <x v="4"/>
    <x v="1"/>
    <s v="High"/>
    <n v="1804"/>
    <n v="5"/>
    <n v="125"/>
    <n v="225500"/>
    <n v="22550"/>
    <n v="202950"/>
    <n v="216480"/>
    <n v="-13530"/>
    <d v="2013-11-01T00:00:00"/>
    <b v="1"/>
    <n v="11"/>
    <x v="9"/>
    <s v="2013"/>
    <n v="0"/>
  </r>
  <r>
    <x v="1"/>
    <x v="2"/>
    <x v="1"/>
    <s v="High"/>
    <n v="2072"/>
    <n v="5"/>
    <n v="15"/>
    <n v="31080"/>
    <n v="3108"/>
    <n v="27972"/>
    <n v="20720"/>
    <n v="7252"/>
    <d v="2014-12-01T00:00:00"/>
    <b v="1"/>
    <n v="12"/>
    <x v="2"/>
    <s v="2014"/>
    <n v="0"/>
  </r>
  <r>
    <x v="0"/>
    <x v="2"/>
    <x v="2"/>
    <s v="High"/>
    <n v="1954"/>
    <n v="10"/>
    <n v="20"/>
    <n v="39080"/>
    <n v="3908"/>
    <n v="35172"/>
    <n v="19540"/>
    <n v="15632"/>
    <d v="2014-03-01T00:00:00"/>
    <b v="1"/>
    <n v="3"/>
    <x v="3"/>
    <s v="2014"/>
    <n v="0"/>
  </r>
  <r>
    <x v="4"/>
    <x v="3"/>
    <x v="2"/>
    <s v="High"/>
    <n v="591"/>
    <n v="10"/>
    <n v="300"/>
    <n v="177300"/>
    <n v="17730"/>
    <n v="159570"/>
    <n v="147750"/>
    <n v="11820"/>
    <d v="2014-05-01T00:00:00"/>
    <b v="1"/>
    <n v="5"/>
    <x v="11"/>
    <s v="2014"/>
    <n v="0"/>
  </r>
  <r>
    <x v="1"/>
    <x v="2"/>
    <x v="2"/>
    <s v="High"/>
    <n v="2167"/>
    <n v="10"/>
    <n v="15"/>
    <n v="32505"/>
    <n v="3250.5"/>
    <n v="29254.5"/>
    <n v="21670"/>
    <n v="7584.5"/>
    <d v="2013-10-01T00:00:00"/>
    <b v="1"/>
    <n v="10"/>
    <x v="7"/>
    <s v="2013"/>
    <n v="0"/>
  </r>
  <r>
    <x v="0"/>
    <x v="1"/>
    <x v="2"/>
    <s v="High"/>
    <n v="241"/>
    <n v="10"/>
    <n v="20"/>
    <n v="4820"/>
    <n v="482"/>
    <n v="4338"/>
    <n v="2410"/>
    <n v="1928"/>
    <d v="2014-10-01T00:00:00"/>
    <b v="1"/>
    <n v="10"/>
    <x v="7"/>
    <s v="2014"/>
    <n v="0"/>
  </r>
  <r>
    <x v="1"/>
    <x v="1"/>
    <x v="3"/>
    <s v="High"/>
    <n v="681"/>
    <n v="120"/>
    <n v="15"/>
    <n v="10215"/>
    <n v="1021.5"/>
    <n v="9193.5"/>
    <n v="6810"/>
    <n v="2383.5"/>
    <d v="2014-01-01T00:00:00"/>
    <b v="1"/>
    <n v="1"/>
    <x v="0"/>
    <s v="2014"/>
    <n v="0"/>
  </r>
  <r>
    <x v="1"/>
    <x v="1"/>
    <x v="3"/>
    <s v="High"/>
    <n v="510"/>
    <n v="120"/>
    <n v="15"/>
    <n v="7650"/>
    <n v="765"/>
    <n v="6885"/>
    <n v="5100"/>
    <n v="1785"/>
    <d v="2014-04-01T00:00:00"/>
    <b v="1"/>
    <n v="4"/>
    <x v="10"/>
    <s v="2014"/>
    <n v="0"/>
  </r>
  <r>
    <x v="1"/>
    <x v="4"/>
    <x v="3"/>
    <s v="High"/>
    <n v="790"/>
    <n v="120"/>
    <n v="15"/>
    <n v="11850"/>
    <n v="1185"/>
    <n v="10665"/>
    <n v="7900"/>
    <n v="2765"/>
    <d v="2014-05-01T00:00:00"/>
    <b v="1"/>
    <n v="5"/>
    <x v="11"/>
    <s v="2014"/>
    <n v="0"/>
  </r>
  <r>
    <x v="0"/>
    <x v="2"/>
    <x v="3"/>
    <s v="High"/>
    <n v="639"/>
    <n v="120"/>
    <n v="350"/>
    <n v="223650"/>
    <n v="22365"/>
    <n v="201285"/>
    <n v="166140"/>
    <n v="35145"/>
    <d v="2014-07-01T00:00:00"/>
    <b v="1"/>
    <n v="7"/>
    <x v="4"/>
    <s v="2014"/>
    <n v="0"/>
  </r>
  <r>
    <x v="3"/>
    <x v="4"/>
    <x v="3"/>
    <s v="High"/>
    <n v="1596"/>
    <n v="120"/>
    <n v="125"/>
    <n v="199500"/>
    <n v="19950"/>
    <n v="179550"/>
    <n v="191520"/>
    <n v="-11970"/>
    <d v="2014-09-01T00:00:00"/>
    <b v="1"/>
    <n v="9"/>
    <x v="6"/>
    <s v="2014"/>
    <n v="0"/>
  </r>
  <r>
    <x v="4"/>
    <x v="4"/>
    <x v="3"/>
    <s v="High"/>
    <n v="2294"/>
    <n v="120"/>
    <n v="300"/>
    <n v="688200"/>
    <n v="68820"/>
    <n v="619380"/>
    <n v="573500"/>
    <n v="45880"/>
    <d v="2013-10-01T00:00:00"/>
    <b v="1"/>
    <n v="10"/>
    <x v="7"/>
    <s v="2013"/>
    <n v="0"/>
  </r>
  <r>
    <x v="0"/>
    <x v="1"/>
    <x v="3"/>
    <s v="High"/>
    <n v="241"/>
    <n v="120"/>
    <n v="20"/>
    <n v="4820"/>
    <n v="482"/>
    <n v="4338"/>
    <n v="2410"/>
    <n v="1928"/>
    <d v="2014-10-01T00:00:00"/>
    <b v="1"/>
    <n v="10"/>
    <x v="7"/>
    <s v="2014"/>
    <n v="0"/>
  </r>
  <r>
    <x v="0"/>
    <x v="1"/>
    <x v="3"/>
    <s v="High"/>
    <n v="2665"/>
    <n v="120"/>
    <n v="7"/>
    <n v="18655"/>
    <n v="1865.5"/>
    <n v="16789.5"/>
    <n v="13325"/>
    <n v="3464.5"/>
    <d v="2014-11-01T00:00:00"/>
    <b v="1"/>
    <n v="11"/>
    <x v="9"/>
    <s v="2014"/>
    <n v="0"/>
  </r>
  <r>
    <x v="3"/>
    <x v="0"/>
    <x v="3"/>
    <s v="High"/>
    <n v="1916"/>
    <n v="120"/>
    <n v="125"/>
    <n v="239500"/>
    <n v="23950"/>
    <n v="215550"/>
    <n v="229920"/>
    <n v="-14370"/>
    <d v="2013-12-01T00:00:00"/>
    <b v="1"/>
    <n v="12"/>
    <x v="2"/>
    <s v="2013"/>
    <n v="0"/>
  </r>
  <r>
    <x v="4"/>
    <x v="2"/>
    <x v="3"/>
    <s v="High"/>
    <n v="853"/>
    <n v="120"/>
    <n v="300"/>
    <n v="255900"/>
    <n v="25590"/>
    <n v="230310"/>
    <n v="213250"/>
    <n v="17060"/>
    <d v="2014-12-01T00:00:00"/>
    <b v="1"/>
    <n v="12"/>
    <x v="2"/>
    <s v="2014"/>
    <n v="0"/>
  </r>
  <r>
    <x v="3"/>
    <x v="3"/>
    <x v="4"/>
    <s v="High"/>
    <n v="341"/>
    <n v="250"/>
    <n v="125"/>
    <n v="42625"/>
    <n v="4262.5"/>
    <n v="38362.5"/>
    <n v="40920"/>
    <n v="-2557.5"/>
    <d v="2014-05-01T00:00:00"/>
    <b v="1"/>
    <n v="5"/>
    <x v="11"/>
    <s v="2014"/>
    <n v="0"/>
  </r>
  <r>
    <x v="1"/>
    <x v="3"/>
    <x v="4"/>
    <s v="High"/>
    <n v="641"/>
    <n v="250"/>
    <n v="15"/>
    <n v="9615"/>
    <n v="961.5"/>
    <n v="8653.5"/>
    <n v="6410"/>
    <n v="2243.5"/>
    <d v="2014-07-01T00:00:00"/>
    <b v="1"/>
    <n v="7"/>
    <x v="4"/>
    <s v="2014"/>
    <n v="0"/>
  </r>
  <r>
    <x v="0"/>
    <x v="4"/>
    <x v="4"/>
    <s v="High"/>
    <n v="2807"/>
    <n v="250"/>
    <n v="350"/>
    <n v="982450"/>
    <n v="98245"/>
    <n v="884205"/>
    <n v="729820"/>
    <n v="154385"/>
    <d v="2014-08-01T00:00:00"/>
    <b v="1"/>
    <n v="8"/>
    <x v="5"/>
    <s v="2014"/>
    <n v="0"/>
  </r>
  <r>
    <x v="4"/>
    <x v="3"/>
    <x v="4"/>
    <s v="High"/>
    <n v="432"/>
    <n v="250"/>
    <n v="300"/>
    <n v="129600"/>
    <n v="12960"/>
    <n v="116640"/>
    <n v="108000"/>
    <n v="8640"/>
    <d v="2014-09-01T00:00:00"/>
    <b v="1"/>
    <n v="9"/>
    <x v="6"/>
    <s v="2014"/>
    <n v="0"/>
  </r>
  <r>
    <x v="4"/>
    <x v="4"/>
    <x v="4"/>
    <s v="High"/>
    <n v="2294"/>
    <n v="250"/>
    <n v="300"/>
    <n v="688200"/>
    <n v="68820"/>
    <n v="619380"/>
    <n v="573500"/>
    <n v="45880"/>
    <d v="2013-10-01T00:00:00"/>
    <b v="1"/>
    <n v="10"/>
    <x v="7"/>
    <s v="2013"/>
    <n v="0"/>
  </r>
  <r>
    <x v="1"/>
    <x v="2"/>
    <x v="4"/>
    <s v="High"/>
    <n v="2167"/>
    <n v="250"/>
    <n v="15"/>
    <n v="32505"/>
    <n v="3250.5"/>
    <n v="29254.5"/>
    <n v="21670"/>
    <n v="7584.5"/>
    <d v="2013-10-01T00:00:00"/>
    <b v="1"/>
    <n v="10"/>
    <x v="7"/>
    <s v="2013"/>
    <n v="0"/>
  </r>
  <r>
    <x v="3"/>
    <x v="0"/>
    <x v="4"/>
    <s v="High"/>
    <n v="2529"/>
    <n v="250"/>
    <n v="125"/>
    <n v="316125"/>
    <n v="31612.5"/>
    <n v="284512.5"/>
    <n v="303480"/>
    <n v="-18967.5"/>
    <d v="2014-11-01T00:00:00"/>
    <b v="1"/>
    <n v="11"/>
    <x v="9"/>
    <s v="2014"/>
    <n v="0"/>
  </r>
  <r>
    <x v="0"/>
    <x v="1"/>
    <x v="4"/>
    <s v="High"/>
    <n v="1870"/>
    <n v="250"/>
    <n v="350"/>
    <n v="654500"/>
    <n v="65450"/>
    <n v="589050"/>
    <n v="486200"/>
    <n v="102850"/>
    <d v="2013-12-01T00:00:00"/>
    <b v="1"/>
    <n v="12"/>
    <x v="2"/>
    <s v="2013"/>
    <n v="0"/>
  </r>
  <r>
    <x v="3"/>
    <x v="4"/>
    <x v="5"/>
    <s v="High"/>
    <n v="579"/>
    <n v="260"/>
    <n v="125"/>
    <n v="72375"/>
    <n v="7237.5"/>
    <n v="65137.5"/>
    <n v="69480"/>
    <n v="-4342.5"/>
    <d v="2014-01-01T00:00:00"/>
    <b v="1"/>
    <n v="1"/>
    <x v="0"/>
    <s v="2014"/>
    <n v="0"/>
  </r>
  <r>
    <x v="0"/>
    <x v="0"/>
    <x v="5"/>
    <s v="High"/>
    <n v="2240"/>
    <n v="260"/>
    <n v="350"/>
    <n v="784000"/>
    <n v="78400"/>
    <n v="705600"/>
    <n v="582400"/>
    <n v="123200"/>
    <d v="2014-02-01T00:00:00"/>
    <b v="1"/>
    <n v="2"/>
    <x v="8"/>
    <s v="2014"/>
    <n v="0"/>
  </r>
  <r>
    <x v="4"/>
    <x v="4"/>
    <x v="5"/>
    <s v="High"/>
    <n v="2993"/>
    <n v="260"/>
    <n v="300"/>
    <n v="897900"/>
    <n v="89790"/>
    <n v="808110"/>
    <n v="748250"/>
    <n v="59860"/>
    <d v="2014-03-01T00:00:00"/>
    <b v="1"/>
    <n v="3"/>
    <x v="3"/>
    <s v="2014"/>
    <n v="0"/>
  </r>
  <r>
    <x v="2"/>
    <x v="0"/>
    <x v="5"/>
    <s v="High"/>
    <n v="3520.5"/>
    <n v="260"/>
    <n v="12"/>
    <n v="42246"/>
    <n v="4224.6000000000004"/>
    <n v="38021.399999999994"/>
    <n v="10561.5"/>
    <n v="27459.899999999998"/>
    <d v="2014-04-01T00:00:00"/>
    <b v="1"/>
    <n v="4"/>
    <x v="10"/>
    <s v="2014"/>
    <n v="0"/>
  </r>
  <r>
    <x v="0"/>
    <x v="3"/>
    <x v="5"/>
    <s v="High"/>
    <n v="2039"/>
    <n v="260"/>
    <n v="20"/>
    <n v="40780"/>
    <n v="4078"/>
    <n v="36702"/>
    <n v="20390"/>
    <n v="16312"/>
    <d v="2014-05-01T00:00:00"/>
    <b v="1"/>
    <n v="5"/>
    <x v="11"/>
    <s v="2014"/>
    <n v="0"/>
  </r>
  <r>
    <x v="2"/>
    <x v="1"/>
    <x v="5"/>
    <s v="High"/>
    <n v="2574"/>
    <n v="260"/>
    <n v="12"/>
    <n v="30888"/>
    <n v="3088.8"/>
    <n v="27799.200000000001"/>
    <n v="7722"/>
    <n v="20077.2"/>
    <d v="2014-08-01T00:00:00"/>
    <b v="1"/>
    <n v="8"/>
    <x v="5"/>
    <s v="2014"/>
    <n v="0"/>
  </r>
  <r>
    <x v="0"/>
    <x v="0"/>
    <x v="5"/>
    <s v="High"/>
    <n v="707"/>
    <n v="260"/>
    <n v="350"/>
    <n v="247450"/>
    <n v="24745"/>
    <n v="222705"/>
    <n v="183820"/>
    <n v="38885"/>
    <d v="2014-09-01T00:00:00"/>
    <b v="1"/>
    <n v="9"/>
    <x v="6"/>
    <s v="2014"/>
    <n v="0"/>
  </r>
  <r>
    <x v="1"/>
    <x v="2"/>
    <x v="5"/>
    <s v="High"/>
    <n v="2072"/>
    <n v="260"/>
    <n v="15"/>
    <n v="31080"/>
    <n v="3108"/>
    <n v="27972"/>
    <n v="20720"/>
    <n v="7252"/>
    <d v="2014-12-01T00:00:00"/>
    <b v="1"/>
    <n v="12"/>
    <x v="2"/>
    <s v="2014"/>
    <n v="0"/>
  </r>
  <r>
    <x v="4"/>
    <x v="2"/>
    <x v="5"/>
    <s v="High"/>
    <n v="853"/>
    <n v="260"/>
    <n v="300"/>
    <n v="255900"/>
    <n v="25590"/>
    <n v="230310"/>
    <n v="213250"/>
    <n v="17060"/>
    <d v="2014-12-01T00:00:00"/>
    <b v="1"/>
    <n v="12"/>
    <x v="2"/>
    <s v="2014"/>
    <n v="0"/>
  </r>
  <r>
    <x v="2"/>
    <x v="2"/>
    <x v="0"/>
    <s v="High"/>
    <n v="1198"/>
    <n v="3"/>
    <n v="12"/>
    <n v="14376"/>
    <n v="1581.36"/>
    <n v="12794.64"/>
    <n v="3594"/>
    <n v="9200.64"/>
    <d v="2013-10-01T00:00:00"/>
    <b v="1"/>
    <n v="10"/>
    <x v="7"/>
    <s v="2013"/>
    <n v="0"/>
  </r>
  <r>
    <x v="0"/>
    <x v="2"/>
    <x v="2"/>
    <s v="High"/>
    <n v="2532"/>
    <n v="10"/>
    <n v="7"/>
    <n v="17724"/>
    <n v="1949.6399999999999"/>
    <n v="15774.36"/>
    <n v="12660"/>
    <n v="3114.3599999999997"/>
    <d v="2014-04-01T00:00:00"/>
    <b v="1"/>
    <n v="4"/>
    <x v="10"/>
    <s v="2014"/>
    <n v="0"/>
  </r>
  <r>
    <x v="2"/>
    <x v="2"/>
    <x v="2"/>
    <s v="High"/>
    <n v="1198"/>
    <n v="10"/>
    <n v="12"/>
    <n v="14376"/>
    <n v="1581.36"/>
    <n v="12794.64"/>
    <n v="3594"/>
    <n v="9200.64"/>
    <d v="2013-10-01T00:00:00"/>
    <b v="1"/>
    <n v="10"/>
    <x v="7"/>
    <s v="2013"/>
    <n v="0"/>
  </r>
  <r>
    <x v="1"/>
    <x v="0"/>
    <x v="3"/>
    <s v="High"/>
    <n v="384"/>
    <n v="120"/>
    <n v="15"/>
    <n v="5760"/>
    <n v="633.59999999999991"/>
    <n v="5126.3999999999996"/>
    <n v="3840"/>
    <n v="1286.3999999999999"/>
    <d v="2014-01-01T00:00:00"/>
    <b v="1"/>
    <n v="1"/>
    <x v="0"/>
    <s v="2014"/>
    <n v="0"/>
  </r>
  <r>
    <x v="2"/>
    <x v="1"/>
    <x v="3"/>
    <s v="High"/>
    <n v="472"/>
    <n v="120"/>
    <n v="12"/>
    <n v="5664"/>
    <n v="623.04"/>
    <n v="5040.96"/>
    <n v="1416"/>
    <n v="3624.96"/>
    <d v="2014-10-01T00:00:00"/>
    <b v="1"/>
    <n v="10"/>
    <x v="7"/>
    <s v="2014"/>
    <n v="0"/>
  </r>
  <r>
    <x v="0"/>
    <x v="4"/>
    <x v="4"/>
    <s v="High"/>
    <n v="1579"/>
    <n v="250"/>
    <n v="7"/>
    <n v="11053"/>
    <n v="1215.83"/>
    <n v="9837.17"/>
    <n v="7895"/>
    <n v="1942.17"/>
    <d v="2014-03-01T00:00:00"/>
    <b v="1"/>
    <n v="3"/>
    <x v="3"/>
    <s v="2014"/>
    <n v="0"/>
  </r>
  <r>
    <x v="2"/>
    <x v="3"/>
    <x v="4"/>
    <s v="High"/>
    <n v="1005"/>
    <n v="250"/>
    <n v="12"/>
    <n v="12060"/>
    <n v="1326.6"/>
    <n v="10733.4"/>
    <n v="3015"/>
    <n v="7718.4"/>
    <d v="2013-09-01T00:00:00"/>
    <b v="1"/>
    <n v="9"/>
    <x v="6"/>
    <s v="2013"/>
    <n v="0"/>
  </r>
  <r>
    <x v="1"/>
    <x v="4"/>
    <x v="5"/>
    <s v="High"/>
    <n v="3199.5"/>
    <n v="260"/>
    <n v="15"/>
    <n v="47992.5"/>
    <n v="5279.1749999999993"/>
    <n v="42713.324999999997"/>
    <n v="31995"/>
    <n v="10718.324999999999"/>
    <d v="2014-07-01T00:00:00"/>
    <b v="1"/>
    <n v="7"/>
    <x v="4"/>
    <s v="2014"/>
    <n v="0"/>
  </r>
  <r>
    <x v="2"/>
    <x v="1"/>
    <x v="5"/>
    <s v="High"/>
    <n v="472"/>
    <n v="260"/>
    <n v="12"/>
    <n v="5664"/>
    <n v="623.04"/>
    <n v="5040.96"/>
    <n v="1416"/>
    <n v="3624.96"/>
    <d v="2014-10-01T00:00:00"/>
    <b v="1"/>
    <n v="10"/>
    <x v="7"/>
    <s v="2014"/>
    <n v="0"/>
  </r>
  <r>
    <x v="2"/>
    <x v="0"/>
    <x v="0"/>
    <s v="High"/>
    <n v="1937"/>
    <n v="3"/>
    <n v="12"/>
    <n v="23244"/>
    <n v="2556.84"/>
    <n v="20687.16"/>
    <n v="5811"/>
    <n v="14876.16"/>
    <d v="2014-02-01T00:00:00"/>
    <b v="1"/>
    <n v="2"/>
    <x v="8"/>
    <s v="2014"/>
    <n v="0"/>
  </r>
  <r>
    <x v="0"/>
    <x v="1"/>
    <x v="0"/>
    <s v="High"/>
    <n v="792"/>
    <n v="3"/>
    <n v="350"/>
    <n v="277200"/>
    <n v="30492"/>
    <n v="246708"/>
    <n v="205920"/>
    <n v="40788"/>
    <d v="2014-03-01T00:00:00"/>
    <b v="1"/>
    <n v="3"/>
    <x v="3"/>
    <s v="2014"/>
    <n v="0"/>
  </r>
  <r>
    <x v="4"/>
    <x v="1"/>
    <x v="0"/>
    <s v="High"/>
    <n v="2811"/>
    <n v="3"/>
    <n v="300"/>
    <n v="843300"/>
    <n v="92763"/>
    <n v="750537"/>
    <n v="702750"/>
    <n v="47787"/>
    <d v="2014-07-01T00:00:00"/>
    <b v="1"/>
    <n v="7"/>
    <x v="4"/>
    <s v="2014"/>
    <n v="0"/>
  </r>
  <r>
    <x v="3"/>
    <x v="2"/>
    <x v="0"/>
    <s v="High"/>
    <n v="2441"/>
    <n v="3"/>
    <n v="125"/>
    <n v="305125"/>
    <n v="33563.75"/>
    <n v="271561.25"/>
    <n v="292920"/>
    <n v="-21358.75"/>
    <d v="2014-10-01T00:00:00"/>
    <b v="1"/>
    <n v="10"/>
    <x v="7"/>
    <s v="2014"/>
    <n v="0"/>
  </r>
  <r>
    <x v="1"/>
    <x v="0"/>
    <x v="0"/>
    <s v="High"/>
    <n v="1560"/>
    <n v="3"/>
    <n v="15"/>
    <n v="23400"/>
    <n v="2574"/>
    <n v="20826"/>
    <n v="15600"/>
    <n v="5226"/>
    <d v="2013-11-01T00:00:00"/>
    <b v="1"/>
    <n v="11"/>
    <x v="9"/>
    <s v="2013"/>
    <n v="0"/>
  </r>
  <r>
    <x v="0"/>
    <x v="3"/>
    <x v="0"/>
    <s v="High"/>
    <n v="2706"/>
    <n v="3"/>
    <n v="7"/>
    <n v="18942"/>
    <n v="2083.62"/>
    <n v="16858.38"/>
    <n v="13530"/>
    <n v="3328.380000000001"/>
    <d v="2013-11-01T00:00:00"/>
    <b v="1"/>
    <n v="11"/>
    <x v="9"/>
    <s v="2013"/>
    <n v="0"/>
  </r>
  <r>
    <x v="0"/>
    <x v="1"/>
    <x v="1"/>
    <s v="High"/>
    <n v="766"/>
    <n v="5"/>
    <n v="350"/>
    <n v="268100"/>
    <n v="29491"/>
    <n v="238609"/>
    <n v="199160"/>
    <n v="39449"/>
    <d v="2014-01-01T00:00:00"/>
    <b v="1"/>
    <n v="1"/>
    <x v="0"/>
    <s v="2014"/>
    <n v="0"/>
  </r>
  <r>
    <x v="0"/>
    <x v="1"/>
    <x v="1"/>
    <s v="High"/>
    <n v="2992"/>
    <n v="5"/>
    <n v="20"/>
    <n v="59840"/>
    <n v="6582.4"/>
    <n v="53257.599999999999"/>
    <n v="29920"/>
    <n v="23337.599999999999"/>
    <d v="2013-10-01T00:00:00"/>
    <b v="1"/>
    <n v="10"/>
    <x v="7"/>
    <s v="2013"/>
    <n v="0"/>
  </r>
  <r>
    <x v="1"/>
    <x v="3"/>
    <x v="1"/>
    <s v="High"/>
    <n v="2157"/>
    <n v="5"/>
    <n v="15"/>
    <n v="32355"/>
    <n v="3559.05"/>
    <n v="28795.95"/>
    <n v="21570"/>
    <n v="7225.9500000000007"/>
    <d v="2014-12-01T00:00:00"/>
    <b v="1"/>
    <n v="12"/>
    <x v="2"/>
    <s v="2014"/>
    <n v="0"/>
  </r>
  <r>
    <x v="4"/>
    <x v="0"/>
    <x v="2"/>
    <s v="High"/>
    <n v="873"/>
    <n v="10"/>
    <n v="300"/>
    <n v="261900"/>
    <n v="28809"/>
    <n v="233091"/>
    <n v="218250"/>
    <n v="14841"/>
    <d v="2014-01-01T00:00:00"/>
    <b v="1"/>
    <n v="1"/>
    <x v="0"/>
    <s v="2014"/>
    <n v="0"/>
  </r>
  <r>
    <x v="0"/>
    <x v="3"/>
    <x v="2"/>
    <s v="High"/>
    <n v="1122"/>
    <n v="10"/>
    <n v="20"/>
    <n v="22440"/>
    <n v="2468.4"/>
    <n v="19971.599999999999"/>
    <n v="11220"/>
    <n v="8751.5999999999985"/>
    <d v="2014-03-01T00:00:00"/>
    <b v="1"/>
    <n v="3"/>
    <x v="3"/>
    <s v="2014"/>
    <n v="0"/>
  </r>
  <r>
    <x v="0"/>
    <x v="0"/>
    <x v="2"/>
    <s v="High"/>
    <n v="2104.5"/>
    <n v="10"/>
    <n v="350"/>
    <n v="736575"/>
    <n v="81023.25"/>
    <n v="655551.75"/>
    <n v="547170"/>
    <n v="108381.75"/>
    <d v="2014-07-01T00:00:00"/>
    <b v="1"/>
    <n v="7"/>
    <x v="4"/>
    <s v="2014"/>
    <n v="0"/>
  </r>
  <r>
    <x v="2"/>
    <x v="0"/>
    <x v="2"/>
    <s v="High"/>
    <n v="4026"/>
    <n v="10"/>
    <n v="12"/>
    <n v="48312"/>
    <n v="5314.32"/>
    <n v="42997.68"/>
    <n v="12078"/>
    <n v="30919.68"/>
    <d v="2014-07-01T00:00:00"/>
    <b v="1"/>
    <n v="7"/>
    <x v="4"/>
    <s v="2014"/>
    <n v="0"/>
  </r>
  <r>
    <x v="2"/>
    <x v="2"/>
    <x v="2"/>
    <s v="High"/>
    <n v="2425.5"/>
    <n v="10"/>
    <n v="12"/>
    <n v="29106"/>
    <n v="3201.66"/>
    <n v="25904.340000000004"/>
    <n v="7276.5"/>
    <n v="18627.840000000004"/>
    <d v="2014-07-01T00:00:00"/>
    <b v="1"/>
    <n v="7"/>
    <x v="4"/>
    <s v="2014"/>
    <n v="0"/>
  </r>
  <r>
    <x v="0"/>
    <x v="0"/>
    <x v="2"/>
    <s v="High"/>
    <n v="2394"/>
    <n v="10"/>
    <n v="20"/>
    <n v="47880"/>
    <n v="5266.8"/>
    <n v="42613.2"/>
    <n v="23940"/>
    <n v="18673.199999999997"/>
    <d v="2014-08-01T00:00:00"/>
    <b v="1"/>
    <n v="8"/>
    <x v="5"/>
    <s v="2014"/>
    <n v="0"/>
  </r>
  <r>
    <x v="1"/>
    <x v="3"/>
    <x v="2"/>
    <s v="High"/>
    <n v="1984"/>
    <n v="10"/>
    <n v="15"/>
    <n v="29760"/>
    <n v="3273.6"/>
    <n v="26486.400000000001"/>
    <n v="19840"/>
    <n v="6646.4000000000015"/>
    <d v="2014-08-01T00:00:00"/>
    <b v="1"/>
    <n v="8"/>
    <x v="5"/>
    <s v="2014"/>
    <n v="0"/>
  </r>
  <r>
    <x v="3"/>
    <x v="2"/>
    <x v="2"/>
    <s v="High"/>
    <n v="2441"/>
    <n v="10"/>
    <n v="125"/>
    <n v="305125"/>
    <n v="33563.75"/>
    <n v="271561.25"/>
    <n v="292920"/>
    <n v="-21358.75"/>
    <d v="2014-10-01T00:00:00"/>
    <b v="1"/>
    <n v="10"/>
    <x v="7"/>
    <s v="2014"/>
    <n v="0"/>
  </r>
  <r>
    <x v="0"/>
    <x v="1"/>
    <x v="2"/>
    <s v="High"/>
    <n v="2992"/>
    <n v="10"/>
    <n v="20"/>
    <n v="59840"/>
    <n v="6582.4"/>
    <n v="53257.599999999999"/>
    <n v="29920"/>
    <n v="23337.599999999999"/>
    <d v="2013-10-01T00:00:00"/>
    <b v="1"/>
    <n v="10"/>
    <x v="7"/>
    <s v="2013"/>
    <n v="0"/>
  </r>
  <r>
    <x v="4"/>
    <x v="0"/>
    <x v="2"/>
    <s v="High"/>
    <n v="1366"/>
    <n v="10"/>
    <n v="300"/>
    <n v="409800"/>
    <n v="45078"/>
    <n v="364722"/>
    <n v="341500"/>
    <n v="23222"/>
    <d v="2014-11-01T00:00:00"/>
    <b v="1"/>
    <n v="11"/>
    <x v="9"/>
    <s v="2014"/>
    <n v="0"/>
  </r>
  <r>
    <x v="0"/>
    <x v="2"/>
    <x v="3"/>
    <s v="High"/>
    <n v="2805"/>
    <n v="120"/>
    <n v="20"/>
    <n v="56100"/>
    <n v="6171"/>
    <n v="49929"/>
    <n v="28050"/>
    <n v="21879"/>
    <d v="2013-09-01T00:00:00"/>
    <b v="1"/>
    <n v="9"/>
    <x v="6"/>
    <s v="2013"/>
    <n v="0"/>
  </r>
  <r>
    <x v="1"/>
    <x v="3"/>
    <x v="3"/>
    <s v="High"/>
    <n v="655"/>
    <n v="120"/>
    <n v="15"/>
    <n v="9825"/>
    <n v="1080.75"/>
    <n v="8744.25"/>
    <n v="6550"/>
    <n v="2194.25"/>
    <d v="2013-09-01T00:00:00"/>
    <b v="1"/>
    <n v="9"/>
    <x v="6"/>
    <s v="2013"/>
    <n v="0"/>
  </r>
  <r>
    <x v="0"/>
    <x v="3"/>
    <x v="3"/>
    <s v="High"/>
    <n v="344"/>
    <n v="120"/>
    <n v="350"/>
    <n v="120400"/>
    <n v="13244"/>
    <n v="107156"/>
    <n v="89440"/>
    <n v="17716"/>
    <d v="2013-10-01T00:00:00"/>
    <b v="1"/>
    <n v="10"/>
    <x v="7"/>
    <s v="2013"/>
    <n v="0"/>
  </r>
  <r>
    <x v="0"/>
    <x v="0"/>
    <x v="3"/>
    <s v="High"/>
    <n v="1808"/>
    <n v="120"/>
    <n v="7"/>
    <n v="12656"/>
    <n v="1392.16"/>
    <n v="11263.84"/>
    <n v="9040"/>
    <n v="2223.84"/>
    <d v="2014-11-01T00:00:00"/>
    <b v="1"/>
    <n v="11"/>
    <x v="9"/>
    <s v="2014"/>
    <n v="0"/>
  </r>
  <r>
    <x v="2"/>
    <x v="2"/>
    <x v="4"/>
    <s v="High"/>
    <n v="1734"/>
    <n v="250"/>
    <n v="12"/>
    <n v="20808"/>
    <n v="2288.88"/>
    <n v="18519.12"/>
    <n v="5202"/>
    <n v="13317.119999999999"/>
    <d v="2014-01-01T00:00:00"/>
    <b v="1"/>
    <n v="1"/>
    <x v="0"/>
    <s v="2014"/>
    <n v="0"/>
  </r>
  <r>
    <x v="3"/>
    <x v="3"/>
    <x v="4"/>
    <s v="High"/>
    <n v="554"/>
    <n v="250"/>
    <n v="125"/>
    <n v="69250"/>
    <n v="7617.5"/>
    <n v="61632.5"/>
    <n v="66480"/>
    <n v="-4847.5"/>
    <d v="2014-01-01T00:00:00"/>
    <b v="1"/>
    <n v="1"/>
    <x v="0"/>
    <s v="2014"/>
    <n v="0"/>
  </r>
  <r>
    <x v="0"/>
    <x v="0"/>
    <x v="4"/>
    <s v="High"/>
    <n v="2935"/>
    <n v="250"/>
    <n v="20"/>
    <n v="58700"/>
    <n v="6457"/>
    <n v="52243"/>
    <n v="29350"/>
    <n v="22893"/>
    <d v="2013-11-01T00:00:00"/>
    <b v="1"/>
    <n v="11"/>
    <x v="9"/>
    <s v="2013"/>
    <n v="0"/>
  </r>
  <r>
    <x v="3"/>
    <x v="1"/>
    <x v="5"/>
    <s v="High"/>
    <n v="3165"/>
    <n v="260"/>
    <n v="125"/>
    <n v="395625"/>
    <n v="43518.75"/>
    <n v="352106.25"/>
    <n v="379800"/>
    <n v="-27693.75"/>
    <d v="2014-01-01T00:00:00"/>
    <b v="1"/>
    <n v="1"/>
    <x v="0"/>
    <s v="2014"/>
    <n v="0"/>
  </r>
  <r>
    <x v="0"/>
    <x v="3"/>
    <x v="5"/>
    <s v="High"/>
    <n v="2629"/>
    <n v="260"/>
    <n v="20"/>
    <n v="52580"/>
    <n v="5783.8"/>
    <n v="46796.2"/>
    <n v="26290"/>
    <n v="20506.199999999997"/>
    <d v="2014-01-01T00:00:00"/>
    <b v="1"/>
    <n v="1"/>
    <x v="0"/>
    <s v="2014"/>
    <n v="0"/>
  </r>
  <r>
    <x v="3"/>
    <x v="2"/>
    <x v="5"/>
    <s v="High"/>
    <n v="1433"/>
    <n v="260"/>
    <n v="125"/>
    <n v="179125"/>
    <n v="19703.75"/>
    <n v="159421.25"/>
    <n v="171960"/>
    <n v="-12538.75"/>
    <d v="2014-05-01T00:00:00"/>
    <b v="1"/>
    <n v="5"/>
    <x v="11"/>
    <s v="2014"/>
    <n v="0"/>
  </r>
  <r>
    <x v="3"/>
    <x v="3"/>
    <x v="5"/>
    <s v="High"/>
    <n v="947"/>
    <n v="260"/>
    <n v="125"/>
    <n v="118375"/>
    <n v="13021.25"/>
    <n v="105353.75"/>
    <n v="113640"/>
    <n v="-8286.25"/>
    <d v="2013-09-01T00:00:00"/>
    <b v="1"/>
    <n v="9"/>
    <x v="6"/>
    <s v="2013"/>
    <n v="0"/>
  </r>
  <r>
    <x v="0"/>
    <x v="3"/>
    <x v="5"/>
    <s v="High"/>
    <n v="344"/>
    <n v="260"/>
    <n v="350"/>
    <n v="120400"/>
    <n v="13244"/>
    <n v="107156"/>
    <n v="89440"/>
    <n v="17716"/>
    <d v="2013-10-01T00:00:00"/>
    <b v="1"/>
    <n v="10"/>
    <x v="7"/>
    <s v="2013"/>
    <n v="0"/>
  </r>
  <r>
    <x v="1"/>
    <x v="3"/>
    <x v="5"/>
    <s v="High"/>
    <n v="2157"/>
    <n v="260"/>
    <n v="15"/>
    <n v="32355"/>
    <n v="3559.05"/>
    <n v="28795.95"/>
    <n v="21570"/>
    <n v="7225.9500000000007"/>
    <d v="2014-12-01T00:00:00"/>
    <b v="1"/>
    <n v="12"/>
    <x v="2"/>
    <s v="2014"/>
    <n v="0"/>
  </r>
  <r>
    <x v="0"/>
    <x v="4"/>
    <x v="2"/>
    <s v="High"/>
    <n v="380"/>
    <n v="10"/>
    <n v="7"/>
    <n v="2660"/>
    <n v="292.60000000000002"/>
    <n v="2367.4"/>
    <n v="1900"/>
    <n v="467.40000000000009"/>
    <d v="2013-09-01T00:00:00"/>
    <b v="1"/>
    <n v="9"/>
    <x v="6"/>
    <s v="2013"/>
    <n v="0"/>
  </r>
  <r>
    <x v="0"/>
    <x v="3"/>
    <x v="0"/>
    <s v="High"/>
    <n v="886"/>
    <n v="3"/>
    <n v="350"/>
    <n v="310100"/>
    <n v="37212"/>
    <n v="272888"/>
    <n v="230360"/>
    <n v="42528"/>
    <d v="2014-06-01T00:00:00"/>
    <b v="1"/>
    <n v="6"/>
    <x v="1"/>
    <s v="2014"/>
    <n v="0"/>
  </r>
  <r>
    <x v="3"/>
    <x v="0"/>
    <x v="0"/>
    <s v="High"/>
    <n v="2416"/>
    <n v="3"/>
    <n v="125"/>
    <n v="302000"/>
    <n v="36240"/>
    <n v="265760"/>
    <n v="289920"/>
    <n v="-24160"/>
    <d v="2013-09-01T00:00:00"/>
    <b v="1"/>
    <n v="9"/>
    <x v="6"/>
    <s v="2013"/>
    <n v="0"/>
  </r>
  <r>
    <x v="3"/>
    <x v="3"/>
    <x v="0"/>
    <s v="High"/>
    <n v="2156"/>
    <n v="3"/>
    <n v="125"/>
    <n v="269500"/>
    <n v="32340"/>
    <n v="237160"/>
    <n v="258720"/>
    <n v="-21560"/>
    <d v="2014-10-01T00:00:00"/>
    <b v="1"/>
    <n v="10"/>
    <x v="7"/>
    <s v="2014"/>
    <n v="0"/>
  </r>
  <r>
    <x v="1"/>
    <x v="0"/>
    <x v="0"/>
    <s v="High"/>
    <n v="2689"/>
    <n v="3"/>
    <n v="15"/>
    <n v="40335"/>
    <n v="4840.2"/>
    <n v="35494.800000000003"/>
    <n v="26890"/>
    <n v="8604.8000000000029"/>
    <d v="2014-11-01T00:00:00"/>
    <b v="1"/>
    <n v="11"/>
    <x v="9"/>
    <s v="2014"/>
    <n v="0"/>
  </r>
  <r>
    <x v="1"/>
    <x v="4"/>
    <x v="1"/>
    <s v="High"/>
    <n v="677"/>
    <n v="5"/>
    <n v="15"/>
    <n v="10155"/>
    <n v="1218.5999999999999"/>
    <n v="8936.4"/>
    <n v="6770"/>
    <n v="2166.3999999999996"/>
    <d v="2014-03-01T00:00:00"/>
    <b v="1"/>
    <n v="3"/>
    <x v="3"/>
    <s v="2014"/>
    <n v="0"/>
  </r>
  <r>
    <x v="4"/>
    <x v="2"/>
    <x v="1"/>
    <s v="High"/>
    <n v="1773"/>
    <n v="5"/>
    <n v="300"/>
    <n v="531900"/>
    <n v="63828"/>
    <n v="468072"/>
    <n v="443250"/>
    <n v="24822"/>
    <d v="2014-04-01T00:00:00"/>
    <b v="1"/>
    <n v="4"/>
    <x v="10"/>
    <s v="2014"/>
    <n v="0"/>
  </r>
  <r>
    <x v="0"/>
    <x v="3"/>
    <x v="1"/>
    <s v="High"/>
    <n v="2420"/>
    <n v="5"/>
    <n v="7"/>
    <n v="16940"/>
    <n v="2032.8"/>
    <n v="14907.2"/>
    <n v="12100"/>
    <n v="2807.2000000000007"/>
    <d v="2014-09-01T00:00:00"/>
    <b v="1"/>
    <n v="9"/>
    <x v="6"/>
    <s v="2014"/>
    <n v="0"/>
  </r>
  <r>
    <x v="0"/>
    <x v="0"/>
    <x v="1"/>
    <s v="High"/>
    <n v="2734"/>
    <n v="5"/>
    <n v="7"/>
    <n v="19138"/>
    <n v="2296.56"/>
    <n v="16841.439999999999"/>
    <n v="13670"/>
    <n v="3171.4399999999987"/>
    <d v="2014-10-01T00:00:00"/>
    <b v="1"/>
    <n v="10"/>
    <x v="7"/>
    <s v="2014"/>
    <n v="0"/>
  </r>
  <r>
    <x v="0"/>
    <x v="3"/>
    <x v="1"/>
    <s v="High"/>
    <n v="1715"/>
    <n v="5"/>
    <n v="20"/>
    <n v="34300"/>
    <n v="4116"/>
    <n v="30184"/>
    <n v="17150"/>
    <n v="13034"/>
    <d v="2013-10-01T00:00:00"/>
    <b v="1"/>
    <n v="10"/>
    <x v="7"/>
    <s v="2013"/>
    <n v="0"/>
  </r>
  <r>
    <x v="4"/>
    <x v="2"/>
    <x v="1"/>
    <s v="High"/>
    <n v="1186"/>
    <n v="5"/>
    <n v="300"/>
    <n v="355800"/>
    <n v="42696"/>
    <n v="313104"/>
    <n v="296500"/>
    <n v="16604"/>
    <d v="2013-12-01T00:00:00"/>
    <b v="1"/>
    <n v="12"/>
    <x v="2"/>
    <s v="2013"/>
    <n v="0"/>
  </r>
  <r>
    <x v="4"/>
    <x v="4"/>
    <x v="2"/>
    <s v="High"/>
    <n v="3495"/>
    <n v="10"/>
    <n v="300"/>
    <n v="1048500"/>
    <n v="125820"/>
    <n v="922680"/>
    <n v="873750"/>
    <n v="48930"/>
    <d v="2014-01-01T00:00:00"/>
    <b v="1"/>
    <n v="1"/>
    <x v="0"/>
    <s v="2014"/>
    <n v="0"/>
  </r>
  <r>
    <x v="0"/>
    <x v="3"/>
    <x v="2"/>
    <s v="High"/>
    <n v="886"/>
    <n v="10"/>
    <n v="350"/>
    <n v="310100"/>
    <n v="37212"/>
    <n v="272888"/>
    <n v="230360"/>
    <n v="42528"/>
    <d v="2014-06-01T00:00:00"/>
    <b v="1"/>
    <n v="6"/>
    <x v="1"/>
    <s v="2014"/>
    <n v="0"/>
  </r>
  <r>
    <x v="3"/>
    <x v="3"/>
    <x v="2"/>
    <s v="High"/>
    <n v="2156"/>
    <n v="10"/>
    <n v="125"/>
    <n v="269500"/>
    <n v="32340"/>
    <n v="237160"/>
    <n v="258720"/>
    <n v="-21560"/>
    <d v="2014-10-01T00:00:00"/>
    <b v="1"/>
    <n v="10"/>
    <x v="7"/>
    <s v="2014"/>
    <n v="0"/>
  </r>
  <r>
    <x v="0"/>
    <x v="3"/>
    <x v="2"/>
    <s v="High"/>
    <n v="905"/>
    <n v="10"/>
    <n v="20"/>
    <n v="18100"/>
    <n v="2172"/>
    <n v="15928"/>
    <n v="9050"/>
    <n v="6878"/>
    <d v="2014-10-01T00:00:00"/>
    <b v="1"/>
    <n v="10"/>
    <x v="7"/>
    <s v="2014"/>
    <n v="0"/>
  </r>
  <r>
    <x v="0"/>
    <x v="3"/>
    <x v="2"/>
    <s v="High"/>
    <n v="1715"/>
    <n v="10"/>
    <n v="20"/>
    <n v="34300"/>
    <n v="4116"/>
    <n v="30184"/>
    <n v="17150"/>
    <n v="13034"/>
    <d v="2013-10-01T00:00:00"/>
    <b v="1"/>
    <n v="10"/>
    <x v="7"/>
    <s v="2013"/>
    <n v="0"/>
  </r>
  <r>
    <x v="0"/>
    <x v="2"/>
    <x v="2"/>
    <s v="High"/>
    <n v="1594"/>
    <n v="10"/>
    <n v="350"/>
    <n v="557900"/>
    <n v="66948"/>
    <n v="490952"/>
    <n v="414440"/>
    <n v="76512"/>
    <d v="2014-11-01T00:00:00"/>
    <b v="1"/>
    <n v="11"/>
    <x v="9"/>
    <s v="2014"/>
    <n v="0"/>
  </r>
  <r>
    <x v="4"/>
    <x v="1"/>
    <x v="2"/>
    <s v="High"/>
    <n v="1359"/>
    <n v="10"/>
    <n v="300"/>
    <n v="407700"/>
    <n v="48924"/>
    <n v="358776"/>
    <n v="339750"/>
    <n v="19026"/>
    <d v="2014-11-01T00:00:00"/>
    <b v="1"/>
    <n v="11"/>
    <x v="9"/>
    <s v="2014"/>
    <n v="0"/>
  </r>
  <r>
    <x v="4"/>
    <x v="3"/>
    <x v="2"/>
    <s v="High"/>
    <n v="2150"/>
    <n v="10"/>
    <n v="300"/>
    <n v="645000"/>
    <n v="77400"/>
    <n v="567600"/>
    <n v="537500"/>
    <n v="30100"/>
    <d v="2014-11-01T00:00:00"/>
    <b v="1"/>
    <n v="11"/>
    <x v="9"/>
    <s v="2014"/>
    <n v="0"/>
  </r>
  <r>
    <x v="0"/>
    <x v="3"/>
    <x v="2"/>
    <s v="High"/>
    <n v="1197"/>
    <n v="10"/>
    <n v="350"/>
    <n v="418950"/>
    <n v="50274"/>
    <n v="368676"/>
    <n v="311220"/>
    <n v="57456"/>
    <d v="2014-11-01T00:00:00"/>
    <b v="1"/>
    <n v="11"/>
    <x v="9"/>
    <s v="2014"/>
    <n v="0"/>
  </r>
  <r>
    <x v="1"/>
    <x v="3"/>
    <x v="2"/>
    <s v="High"/>
    <n v="380"/>
    <n v="10"/>
    <n v="15"/>
    <n v="5700"/>
    <n v="684"/>
    <n v="5016"/>
    <n v="3800"/>
    <n v="1216"/>
    <d v="2013-12-01T00:00:00"/>
    <b v="1"/>
    <n v="12"/>
    <x v="2"/>
    <s v="2013"/>
    <n v="0"/>
  </r>
  <r>
    <x v="0"/>
    <x v="3"/>
    <x v="2"/>
    <s v="High"/>
    <n v="1233"/>
    <n v="10"/>
    <n v="20"/>
    <n v="24660"/>
    <n v="2959.2"/>
    <n v="21700.799999999999"/>
    <n v="12330"/>
    <n v="9370.7999999999993"/>
    <d v="2014-12-01T00:00:00"/>
    <b v="1"/>
    <n v="12"/>
    <x v="2"/>
    <s v="2014"/>
    <n v="0"/>
  </r>
  <r>
    <x v="0"/>
    <x v="3"/>
    <x v="3"/>
    <s v="High"/>
    <n v="1395"/>
    <n v="120"/>
    <n v="350"/>
    <n v="488250"/>
    <n v="58590"/>
    <n v="429660"/>
    <n v="362700"/>
    <n v="66960"/>
    <d v="2014-07-01T00:00:00"/>
    <b v="1"/>
    <n v="7"/>
    <x v="4"/>
    <s v="2014"/>
    <n v="0"/>
  </r>
  <r>
    <x v="0"/>
    <x v="4"/>
    <x v="3"/>
    <s v="High"/>
    <n v="986"/>
    <n v="120"/>
    <n v="350"/>
    <n v="345100"/>
    <n v="41412"/>
    <n v="303688"/>
    <n v="256360"/>
    <n v="47328"/>
    <d v="2014-10-01T00:00:00"/>
    <b v="1"/>
    <n v="10"/>
    <x v="7"/>
    <s v="2014"/>
    <n v="0"/>
  </r>
  <r>
    <x v="0"/>
    <x v="3"/>
    <x v="3"/>
    <s v="High"/>
    <n v="905"/>
    <n v="120"/>
    <n v="20"/>
    <n v="18100"/>
    <n v="2172"/>
    <n v="15928"/>
    <n v="9050"/>
    <n v="6878"/>
    <d v="2014-10-01T00:00:00"/>
    <b v="1"/>
    <n v="10"/>
    <x v="7"/>
    <s v="2014"/>
    <n v="0"/>
  </r>
  <r>
    <x v="2"/>
    <x v="0"/>
    <x v="4"/>
    <s v="High"/>
    <n v="2109"/>
    <n v="250"/>
    <n v="12"/>
    <n v="25308"/>
    <n v="3036.96"/>
    <n v="22271.040000000001"/>
    <n v="6327"/>
    <n v="15944.04"/>
    <d v="2014-05-01T00:00:00"/>
    <b v="1"/>
    <n v="5"/>
    <x v="11"/>
    <s v="2014"/>
    <n v="0"/>
  </r>
  <r>
    <x v="1"/>
    <x v="2"/>
    <x v="4"/>
    <s v="High"/>
    <n v="3874.5"/>
    <n v="250"/>
    <n v="15"/>
    <n v="58117.5"/>
    <n v="6974.0999999999995"/>
    <n v="51143.399999999994"/>
    <n v="38745"/>
    <n v="12398.399999999998"/>
    <d v="2014-07-01T00:00:00"/>
    <b v="1"/>
    <n v="7"/>
    <x v="4"/>
    <s v="2014"/>
    <n v="0"/>
  </r>
  <r>
    <x v="0"/>
    <x v="0"/>
    <x v="4"/>
    <s v="High"/>
    <n v="623"/>
    <n v="250"/>
    <n v="350"/>
    <n v="218050"/>
    <n v="26166"/>
    <n v="191884"/>
    <n v="161980"/>
    <n v="29904"/>
    <d v="2013-09-01T00:00:00"/>
    <b v="1"/>
    <n v="9"/>
    <x v="6"/>
    <s v="2013"/>
    <n v="0"/>
  </r>
  <r>
    <x v="0"/>
    <x v="4"/>
    <x v="4"/>
    <s v="High"/>
    <n v="986"/>
    <n v="250"/>
    <n v="350"/>
    <n v="345100"/>
    <n v="41412"/>
    <n v="303688"/>
    <n v="256360"/>
    <n v="47328"/>
    <d v="2014-10-01T00:00:00"/>
    <b v="1"/>
    <n v="10"/>
    <x v="7"/>
    <s v="2014"/>
    <n v="0"/>
  </r>
  <r>
    <x v="3"/>
    <x v="4"/>
    <x v="4"/>
    <s v="High"/>
    <n v="2387"/>
    <n v="250"/>
    <n v="125"/>
    <n v="298375"/>
    <n v="35805"/>
    <n v="262570"/>
    <n v="286440"/>
    <n v="-23870"/>
    <d v="2014-11-01T00:00:00"/>
    <b v="1"/>
    <n v="11"/>
    <x v="9"/>
    <s v="2014"/>
    <n v="0"/>
  </r>
  <r>
    <x v="0"/>
    <x v="3"/>
    <x v="4"/>
    <s v="High"/>
    <n v="1233"/>
    <n v="250"/>
    <n v="20"/>
    <n v="24660"/>
    <n v="2959.2"/>
    <n v="21700.799999999999"/>
    <n v="12330"/>
    <n v="9370.7999999999993"/>
    <d v="2014-12-01T00:00:00"/>
    <b v="1"/>
    <n v="12"/>
    <x v="2"/>
    <s v="2014"/>
    <n v="0"/>
  </r>
  <r>
    <x v="0"/>
    <x v="4"/>
    <x v="5"/>
    <s v="High"/>
    <n v="270"/>
    <n v="260"/>
    <n v="350"/>
    <n v="94500"/>
    <n v="11340"/>
    <n v="83160"/>
    <n v="70200"/>
    <n v="12960"/>
    <d v="2014-02-01T00:00:00"/>
    <b v="1"/>
    <n v="2"/>
    <x v="8"/>
    <s v="2014"/>
    <n v="0"/>
  </r>
  <r>
    <x v="0"/>
    <x v="2"/>
    <x v="5"/>
    <s v="High"/>
    <n v="3421.5"/>
    <n v="260"/>
    <n v="7"/>
    <n v="23950.5"/>
    <n v="2874.06"/>
    <n v="21076.44"/>
    <n v="17107.5"/>
    <n v="3968.9399999999987"/>
    <d v="2014-07-01T00:00:00"/>
    <b v="1"/>
    <n v="7"/>
    <x v="4"/>
    <s v="2014"/>
    <n v="0"/>
  </r>
  <r>
    <x v="0"/>
    <x v="0"/>
    <x v="5"/>
    <s v="High"/>
    <n v="2734"/>
    <n v="260"/>
    <n v="7"/>
    <n v="19138"/>
    <n v="2296.56"/>
    <n v="16841.439999999999"/>
    <n v="13670"/>
    <n v="3171.4399999999987"/>
    <d v="2014-10-01T00:00:00"/>
    <b v="1"/>
    <n v="10"/>
    <x v="7"/>
    <s v="2014"/>
    <n v="0"/>
  </r>
  <r>
    <x v="1"/>
    <x v="4"/>
    <x v="5"/>
    <s v="High"/>
    <n v="2548"/>
    <n v="260"/>
    <n v="15"/>
    <n v="38220"/>
    <n v="4586.3999999999996"/>
    <n v="33633.599999999999"/>
    <n v="25480"/>
    <n v="8153.5999999999985"/>
    <d v="2013-11-01T00:00:00"/>
    <b v="1"/>
    <n v="11"/>
    <x v="9"/>
    <s v="2013"/>
    <n v="0"/>
  </r>
  <r>
    <x v="0"/>
    <x v="2"/>
    <x v="0"/>
    <s v="High"/>
    <n v="2521.5"/>
    <n v="3"/>
    <n v="20"/>
    <n v="50430"/>
    <n v="6051.6"/>
    <n v="44378.399999999994"/>
    <n v="25215"/>
    <n v="19163.399999999998"/>
    <d v="2014-01-01T00:00:00"/>
    <b v="1"/>
    <n v="1"/>
    <x v="0"/>
    <s v="2014"/>
    <n v="0"/>
  </r>
  <r>
    <x v="2"/>
    <x v="3"/>
    <x v="1"/>
    <s v="High"/>
    <n v="2661"/>
    <n v="5"/>
    <n v="12"/>
    <n v="31932"/>
    <n v="3831.84"/>
    <n v="28100.16"/>
    <n v="7983"/>
    <n v="20117.16"/>
    <d v="2014-05-01T00:00:00"/>
    <b v="1"/>
    <n v="5"/>
    <x v="11"/>
    <s v="2014"/>
    <n v="0"/>
  </r>
  <r>
    <x v="0"/>
    <x v="1"/>
    <x v="2"/>
    <s v="High"/>
    <n v="1531"/>
    <n v="10"/>
    <n v="20"/>
    <n v="30620"/>
    <n v="3674.4"/>
    <n v="26945.599999999999"/>
    <n v="15310"/>
    <n v="11635.599999999999"/>
    <d v="2014-12-01T00:00:00"/>
    <b v="1"/>
    <n v="12"/>
    <x v="2"/>
    <s v="2014"/>
    <n v="0"/>
  </r>
  <r>
    <x v="0"/>
    <x v="2"/>
    <x v="4"/>
    <s v="High"/>
    <n v="1491"/>
    <n v="250"/>
    <n v="7"/>
    <n v="10437"/>
    <n v="1252.44"/>
    <n v="9184.56"/>
    <n v="7455"/>
    <n v="1729.5599999999995"/>
    <d v="2014-03-01T00:00:00"/>
    <b v="1"/>
    <n v="3"/>
    <x v="3"/>
    <s v="2014"/>
    <n v="0"/>
  </r>
  <r>
    <x v="0"/>
    <x v="1"/>
    <x v="4"/>
    <s v="High"/>
    <n v="1531"/>
    <n v="250"/>
    <n v="20"/>
    <n v="30620"/>
    <n v="3674.4"/>
    <n v="26945.599999999999"/>
    <n v="15310"/>
    <n v="11635.599999999999"/>
    <d v="2014-12-01T00:00:00"/>
    <b v="1"/>
    <n v="12"/>
    <x v="2"/>
    <s v="2014"/>
    <n v="0"/>
  </r>
  <r>
    <x v="2"/>
    <x v="0"/>
    <x v="5"/>
    <s v="High"/>
    <n v="2761"/>
    <n v="260"/>
    <n v="12"/>
    <n v="33132"/>
    <n v="3975.84"/>
    <n v="29156.16"/>
    <n v="8283"/>
    <n v="20873.16"/>
    <d v="2013-09-01T00:00:00"/>
    <b v="1"/>
    <n v="9"/>
    <x v="6"/>
    <s v="2013"/>
    <n v="0"/>
  </r>
  <r>
    <x v="1"/>
    <x v="4"/>
    <x v="0"/>
    <s v="High"/>
    <n v="2567"/>
    <n v="3"/>
    <n v="15"/>
    <n v="38505"/>
    <n v="5005.6499999999996"/>
    <n v="33499.35"/>
    <n v="25670"/>
    <n v="7829.3499999999985"/>
    <d v="2014-06-01T00:00:00"/>
    <b v="1"/>
    <n v="6"/>
    <x v="1"/>
    <s v="2014"/>
    <n v="0"/>
  </r>
  <r>
    <x v="1"/>
    <x v="4"/>
    <x v="4"/>
    <s v="High"/>
    <n v="2567"/>
    <n v="250"/>
    <n v="15"/>
    <n v="38505"/>
    <n v="5005.6499999999996"/>
    <n v="33499.35"/>
    <n v="25670"/>
    <n v="7829.3499999999985"/>
    <d v="2014-06-01T00:00:00"/>
    <b v="1"/>
    <n v="6"/>
    <x v="1"/>
    <s v="2014"/>
    <n v="0"/>
  </r>
  <r>
    <x v="0"/>
    <x v="0"/>
    <x v="0"/>
    <s v="High"/>
    <n v="923"/>
    <n v="3"/>
    <n v="350"/>
    <n v="323050"/>
    <n v="41996.5"/>
    <n v="281053.5"/>
    <n v="239980"/>
    <n v="41073.5"/>
    <d v="2014-03-01T00:00:00"/>
    <b v="1"/>
    <n v="3"/>
    <x v="3"/>
    <s v="2014"/>
    <n v="0"/>
  </r>
  <r>
    <x v="0"/>
    <x v="2"/>
    <x v="0"/>
    <s v="High"/>
    <n v="1790"/>
    <n v="3"/>
    <n v="350"/>
    <n v="626500"/>
    <n v="81445"/>
    <n v="545055"/>
    <n v="465400"/>
    <n v="79655"/>
    <d v="2014-03-01T00:00:00"/>
    <b v="1"/>
    <n v="3"/>
    <x v="3"/>
    <s v="2014"/>
    <n v="0"/>
  </r>
  <r>
    <x v="0"/>
    <x v="1"/>
    <x v="0"/>
    <s v="High"/>
    <n v="442"/>
    <n v="3"/>
    <n v="20"/>
    <n v="8840"/>
    <n v="1149.2"/>
    <n v="7690.8"/>
    <n v="4420"/>
    <n v="3270.8"/>
    <d v="2013-09-01T00:00:00"/>
    <b v="1"/>
    <n v="9"/>
    <x v="6"/>
    <s v="2013"/>
    <n v="0"/>
  </r>
  <r>
    <x v="0"/>
    <x v="4"/>
    <x v="1"/>
    <s v="High"/>
    <n v="982.5"/>
    <n v="5"/>
    <n v="350"/>
    <n v="343875"/>
    <n v="44703.75"/>
    <n v="299171.25"/>
    <n v="255450"/>
    <n v="43721.25"/>
    <d v="2014-01-01T00:00:00"/>
    <b v="1"/>
    <n v="1"/>
    <x v="0"/>
    <s v="2014"/>
    <n v="0"/>
  </r>
  <r>
    <x v="0"/>
    <x v="4"/>
    <x v="1"/>
    <s v="High"/>
    <n v="1298"/>
    <n v="5"/>
    <n v="7"/>
    <n v="9086"/>
    <n v="1181.18"/>
    <n v="7904.82"/>
    <n v="6490"/>
    <n v="1414.8199999999997"/>
    <d v="2014-02-01T00:00:00"/>
    <b v="1"/>
    <n v="2"/>
    <x v="8"/>
    <s v="2014"/>
    <n v="0"/>
  </r>
  <r>
    <x v="2"/>
    <x v="3"/>
    <x v="1"/>
    <s v="High"/>
    <n v="604"/>
    <n v="5"/>
    <n v="12"/>
    <n v="7248"/>
    <n v="942.24"/>
    <n v="6305.76"/>
    <n v="1812"/>
    <n v="4493.76"/>
    <d v="2014-06-01T00:00:00"/>
    <b v="1"/>
    <n v="6"/>
    <x v="1"/>
    <s v="2014"/>
    <n v="0"/>
  </r>
  <r>
    <x v="0"/>
    <x v="3"/>
    <x v="1"/>
    <s v="High"/>
    <n v="2255"/>
    <n v="5"/>
    <n v="20"/>
    <n v="45100"/>
    <n v="5863"/>
    <n v="39237"/>
    <n v="22550"/>
    <n v="16687"/>
    <d v="2014-07-01T00:00:00"/>
    <b v="1"/>
    <n v="7"/>
    <x v="4"/>
    <s v="2014"/>
    <n v="0"/>
  </r>
  <r>
    <x v="0"/>
    <x v="0"/>
    <x v="1"/>
    <s v="High"/>
    <n v="1249"/>
    <n v="5"/>
    <n v="20"/>
    <n v="24980"/>
    <n v="3247.4"/>
    <n v="21732.6"/>
    <n v="12490"/>
    <n v="9242.5999999999985"/>
    <d v="2014-10-01T00:00:00"/>
    <b v="1"/>
    <n v="10"/>
    <x v="7"/>
    <s v="2014"/>
    <n v="0"/>
  </r>
  <r>
    <x v="0"/>
    <x v="4"/>
    <x v="2"/>
    <s v="High"/>
    <n v="1438.5"/>
    <n v="10"/>
    <n v="7"/>
    <n v="10069.5"/>
    <n v="1309.0350000000001"/>
    <n v="8760.4650000000001"/>
    <n v="7192.5"/>
    <n v="1567.9649999999992"/>
    <d v="2014-01-01T00:00:00"/>
    <b v="1"/>
    <n v="1"/>
    <x v="0"/>
    <s v="2014"/>
    <n v="0"/>
  </r>
  <r>
    <x v="4"/>
    <x v="1"/>
    <x v="2"/>
    <s v="High"/>
    <n v="807"/>
    <n v="10"/>
    <n v="300"/>
    <n v="242100"/>
    <n v="31473"/>
    <n v="210627"/>
    <n v="201750"/>
    <n v="8877"/>
    <d v="2014-01-01T00:00:00"/>
    <b v="1"/>
    <n v="1"/>
    <x v="0"/>
    <s v="2014"/>
    <n v="0"/>
  </r>
  <r>
    <x v="0"/>
    <x v="4"/>
    <x v="2"/>
    <s v="High"/>
    <n v="2641"/>
    <n v="10"/>
    <n v="20"/>
    <n v="52820"/>
    <n v="6866.6"/>
    <n v="45953.4"/>
    <n v="26410"/>
    <n v="19543.400000000001"/>
    <d v="2014-02-01T00:00:00"/>
    <b v="1"/>
    <n v="2"/>
    <x v="8"/>
    <s v="2014"/>
    <n v="0"/>
  </r>
  <r>
    <x v="0"/>
    <x v="1"/>
    <x v="2"/>
    <s v="High"/>
    <n v="2708"/>
    <n v="10"/>
    <n v="20"/>
    <n v="54160"/>
    <n v="7040.8"/>
    <n v="47119.199999999997"/>
    <n v="27080"/>
    <n v="20039.199999999997"/>
    <d v="2014-02-01T00:00:00"/>
    <b v="1"/>
    <n v="2"/>
    <x v="8"/>
    <s v="2014"/>
    <n v="0"/>
  </r>
  <r>
    <x v="0"/>
    <x v="0"/>
    <x v="2"/>
    <s v="High"/>
    <n v="2632"/>
    <n v="10"/>
    <n v="350"/>
    <n v="921200"/>
    <n v="119756"/>
    <n v="801444"/>
    <n v="684320"/>
    <n v="117124"/>
    <d v="2014-06-01T00:00:00"/>
    <b v="1"/>
    <n v="6"/>
    <x v="1"/>
    <s v="2014"/>
    <n v="0"/>
  </r>
  <r>
    <x v="3"/>
    <x v="0"/>
    <x v="2"/>
    <s v="High"/>
    <n v="1583"/>
    <n v="10"/>
    <n v="125"/>
    <n v="197875"/>
    <n v="25723.75"/>
    <n v="172151.25"/>
    <n v="189960"/>
    <n v="-17808.75"/>
    <d v="2014-06-01T00:00:00"/>
    <b v="1"/>
    <n v="6"/>
    <x v="1"/>
    <s v="2014"/>
    <n v="0"/>
  </r>
  <r>
    <x v="2"/>
    <x v="3"/>
    <x v="2"/>
    <s v="High"/>
    <n v="571"/>
    <n v="10"/>
    <n v="12"/>
    <n v="6852"/>
    <n v="890.76"/>
    <n v="5961.24"/>
    <n v="1713"/>
    <n v="4248.24"/>
    <d v="2014-07-01T00:00:00"/>
    <b v="1"/>
    <n v="7"/>
    <x v="4"/>
    <s v="2014"/>
    <n v="0"/>
  </r>
  <r>
    <x v="0"/>
    <x v="2"/>
    <x v="2"/>
    <s v="High"/>
    <n v="2696"/>
    <n v="10"/>
    <n v="7"/>
    <n v="18872"/>
    <n v="2453.36"/>
    <n v="16418.64"/>
    <n v="13480"/>
    <n v="2938.6399999999994"/>
    <d v="2014-08-01T00:00:00"/>
    <b v="1"/>
    <n v="8"/>
    <x v="5"/>
    <s v="2014"/>
    <n v="0"/>
  </r>
  <r>
    <x v="1"/>
    <x v="0"/>
    <x v="2"/>
    <s v="High"/>
    <n v="1565"/>
    <n v="10"/>
    <n v="15"/>
    <n v="23475"/>
    <n v="3051.75"/>
    <n v="20423.25"/>
    <n v="15650"/>
    <n v="4773.25"/>
    <d v="2014-10-01T00:00:00"/>
    <b v="1"/>
    <n v="10"/>
    <x v="7"/>
    <s v="2014"/>
    <n v="0"/>
  </r>
  <r>
    <x v="0"/>
    <x v="0"/>
    <x v="2"/>
    <s v="High"/>
    <n v="1249"/>
    <n v="10"/>
    <n v="20"/>
    <n v="24980"/>
    <n v="3247.4"/>
    <n v="21732.6"/>
    <n v="12490"/>
    <n v="9242.5999999999985"/>
    <d v="2014-10-01T00:00:00"/>
    <b v="1"/>
    <n v="10"/>
    <x v="7"/>
    <s v="2014"/>
    <n v="0"/>
  </r>
  <r>
    <x v="0"/>
    <x v="1"/>
    <x v="2"/>
    <s v="High"/>
    <n v="357"/>
    <n v="10"/>
    <n v="350"/>
    <n v="124950"/>
    <n v="16243.5"/>
    <n v="108706.5"/>
    <n v="92820"/>
    <n v="15886.5"/>
    <d v="2014-11-01T00:00:00"/>
    <b v="1"/>
    <n v="11"/>
    <x v="9"/>
    <s v="2014"/>
    <n v="0"/>
  </r>
  <r>
    <x v="2"/>
    <x v="1"/>
    <x v="2"/>
    <s v="High"/>
    <n v="1013"/>
    <n v="10"/>
    <n v="12"/>
    <n v="12156"/>
    <n v="1580.28"/>
    <n v="10575.72"/>
    <n v="3039"/>
    <n v="7536.7199999999993"/>
    <d v="2014-12-01T00:00:00"/>
    <b v="1"/>
    <n v="12"/>
    <x v="2"/>
    <s v="2014"/>
    <n v="0"/>
  </r>
  <r>
    <x v="1"/>
    <x v="2"/>
    <x v="3"/>
    <s v="High"/>
    <n v="3997.5"/>
    <n v="120"/>
    <n v="15"/>
    <n v="59962.5"/>
    <n v="7795.125"/>
    <n v="52167.375"/>
    <n v="39975"/>
    <n v="12192.375"/>
    <d v="2014-01-01T00:00:00"/>
    <b v="1"/>
    <n v="1"/>
    <x v="0"/>
    <s v="2014"/>
    <n v="0"/>
  </r>
  <r>
    <x v="0"/>
    <x v="0"/>
    <x v="3"/>
    <s v="High"/>
    <n v="2632"/>
    <n v="120"/>
    <n v="350"/>
    <n v="921200"/>
    <n v="119756"/>
    <n v="801444"/>
    <n v="684320"/>
    <n v="117124"/>
    <d v="2014-06-01T00:00:00"/>
    <b v="1"/>
    <n v="6"/>
    <x v="1"/>
    <s v="2014"/>
    <n v="0"/>
  </r>
  <r>
    <x v="0"/>
    <x v="2"/>
    <x v="3"/>
    <s v="High"/>
    <n v="1190"/>
    <n v="120"/>
    <n v="7"/>
    <n v="8330"/>
    <n v="1082.9000000000001"/>
    <n v="7247.1"/>
    <n v="5950"/>
    <n v="1297.1000000000004"/>
    <d v="2014-06-01T00:00:00"/>
    <b v="1"/>
    <n v="6"/>
    <x v="1"/>
    <s v="2014"/>
    <n v="0"/>
  </r>
  <r>
    <x v="2"/>
    <x v="3"/>
    <x v="3"/>
    <s v="High"/>
    <n v="604"/>
    <n v="120"/>
    <n v="12"/>
    <n v="7248"/>
    <n v="942.24"/>
    <n v="6305.76"/>
    <n v="1812"/>
    <n v="4493.76"/>
    <d v="2014-06-01T00:00:00"/>
    <b v="1"/>
    <n v="6"/>
    <x v="1"/>
    <s v="2014"/>
    <n v="0"/>
  </r>
  <r>
    <x v="1"/>
    <x v="1"/>
    <x v="3"/>
    <s v="High"/>
    <n v="660"/>
    <n v="120"/>
    <n v="15"/>
    <n v="9900"/>
    <n v="1287"/>
    <n v="8613"/>
    <n v="6600"/>
    <n v="2013"/>
    <d v="2013-09-01T00:00:00"/>
    <b v="1"/>
    <n v="9"/>
    <x v="6"/>
    <s v="2013"/>
    <n v="0"/>
  </r>
  <r>
    <x v="2"/>
    <x v="3"/>
    <x v="3"/>
    <s v="High"/>
    <n v="410"/>
    <n v="120"/>
    <n v="12"/>
    <n v="4920"/>
    <n v="639.6"/>
    <n v="4280.3999999999996"/>
    <n v="1230"/>
    <n v="3050.3999999999996"/>
    <d v="2014-10-01T00:00:00"/>
    <b v="1"/>
    <n v="10"/>
    <x v="7"/>
    <s v="2014"/>
    <n v="0"/>
  </r>
  <r>
    <x v="4"/>
    <x v="3"/>
    <x v="3"/>
    <s v="High"/>
    <n v="2605"/>
    <n v="120"/>
    <n v="300"/>
    <n v="781500"/>
    <n v="101595"/>
    <n v="679905"/>
    <n v="651250"/>
    <n v="28655"/>
    <d v="2013-11-01T00:00:00"/>
    <b v="1"/>
    <n v="11"/>
    <x v="9"/>
    <s v="2013"/>
    <n v="0"/>
  </r>
  <r>
    <x v="2"/>
    <x v="1"/>
    <x v="3"/>
    <s v="High"/>
    <n v="1013"/>
    <n v="120"/>
    <n v="12"/>
    <n v="12156"/>
    <n v="1580.28"/>
    <n v="10575.72"/>
    <n v="3039"/>
    <n v="7536.7199999999993"/>
    <d v="2014-12-01T00:00:00"/>
    <b v="1"/>
    <n v="12"/>
    <x v="2"/>
    <s v="2014"/>
    <n v="0"/>
  </r>
  <r>
    <x v="3"/>
    <x v="0"/>
    <x v="4"/>
    <s v="High"/>
    <n v="1583"/>
    <n v="250"/>
    <n v="125"/>
    <n v="197875"/>
    <n v="25723.75"/>
    <n v="172151.25"/>
    <n v="189960"/>
    <n v="-17808.75"/>
    <d v="2014-06-01T00:00:00"/>
    <b v="1"/>
    <n v="6"/>
    <x v="1"/>
    <s v="2014"/>
    <n v="0"/>
  </r>
  <r>
    <x v="1"/>
    <x v="0"/>
    <x v="4"/>
    <s v="High"/>
    <n v="1565"/>
    <n v="250"/>
    <n v="15"/>
    <n v="23475"/>
    <n v="3051.75"/>
    <n v="20423.25"/>
    <n v="15650"/>
    <n v="4773.25"/>
    <d v="2014-10-01T00:00:00"/>
    <b v="1"/>
    <n v="10"/>
    <x v="7"/>
    <s v="2014"/>
    <n v="0"/>
  </r>
  <r>
    <x v="3"/>
    <x v="0"/>
    <x v="5"/>
    <s v="High"/>
    <n v="1659"/>
    <n v="260"/>
    <n v="125"/>
    <n v="207375"/>
    <n v="26958.75"/>
    <n v="180416.25"/>
    <n v="199080"/>
    <n v="-18663.75"/>
    <d v="2014-01-01T00:00:00"/>
    <b v="1"/>
    <n v="1"/>
    <x v="0"/>
    <s v="2014"/>
    <n v="0"/>
  </r>
  <r>
    <x v="0"/>
    <x v="2"/>
    <x v="5"/>
    <s v="High"/>
    <n v="1190"/>
    <n v="260"/>
    <n v="7"/>
    <n v="8330"/>
    <n v="1082.9000000000001"/>
    <n v="7247.1"/>
    <n v="5950"/>
    <n v="1297.1000000000004"/>
    <d v="2014-06-01T00:00:00"/>
    <b v="1"/>
    <n v="6"/>
    <x v="1"/>
    <s v="2014"/>
    <n v="0"/>
  </r>
  <r>
    <x v="2"/>
    <x v="3"/>
    <x v="5"/>
    <s v="High"/>
    <n v="410"/>
    <n v="260"/>
    <n v="12"/>
    <n v="4920"/>
    <n v="639.6"/>
    <n v="4280.3999999999996"/>
    <n v="1230"/>
    <n v="3050.3999999999996"/>
    <d v="2014-10-01T00:00:00"/>
    <b v="1"/>
    <n v="10"/>
    <x v="7"/>
    <s v="2014"/>
    <n v="0"/>
  </r>
  <r>
    <x v="2"/>
    <x v="1"/>
    <x v="5"/>
    <s v="High"/>
    <n v="1770"/>
    <n v="260"/>
    <n v="12"/>
    <n v="21240"/>
    <n v="2761.2"/>
    <n v="18478.8"/>
    <n v="5310"/>
    <n v="13168.8"/>
    <d v="2013-12-01T00:00:00"/>
    <b v="1"/>
    <n v="12"/>
    <x v="2"/>
    <s v="2013"/>
    <n v="0"/>
  </r>
  <r>
    <x v="0"/>
    <x v="3"/>
    <x v="0"/>
    <s v="High"/>
    <n v="2579"/>
    <n v="3"/>
    <n v="20"/>
    <n v="51580"/>
    <n v="7221.2"/>
    <n v="44358.8"/>
    <n v="25790"/>
    <n v="18568.800000000003"/>
    <d v="2014-04-01T00:00:00"/>
    <b v="1"/>
    <n v="4"/>
    <x v="10"/>
    <s v="2014"/>
    <n v="0"/>
  </r>
  <r>
    <x v="0"/>
    <x v="4"/>
    <x v="0"/>
    <s v="High"/>
    <n v="1743"/>
    <n v="3"/>
    <n v="20"/>
    <n v="34860"/>
    <n v="4880.3999999999996"/>
    <n v="29979.599999999999"/>
    <n v="17430"/>
    <n v="12549.599999999999"/>
    <d v="2014-05-01T00:00:00"/>
    <b v="1"/>
    <n v="5"/>
    <x v="11"/>
    <s v="2014"/>
    <n v="0"/>
  </r>
  <r>
    <x v="0"/>
    <x v="4"/>
    <x v="0"/>
    <s v="High"/>
    <n v="2996"/>
    <n v="3"/>
    <n v="7"/>
    <n v="20972"/>
    <n v="2936.08"/>
    <n v="18035.919999999998"/>
    <n v="14980"/>
    <n v="3055.9199999999983"/>
    <d v="2013-10-01T00:00:00"/>
    <b v="1"/>
    <n v="10"/>
    <x v="7"/>
    <s v="2013"/>
    <n v="0"/>
  </r>
  <r>
    <x v="0"/>
    <x v="1"/>
    <x v="0"/>
    <s v="High"/>
    <n v="280"/>
    <n v="3"/>
    <n v="7"/>
    <n v="1960"/>
    <n v="274.39999999999998"/>
    <n v="1685.6"/>
    <n v="1400"/>
    <n v="285.59999999999991"/>
    <d v="2014-12-01T00:00:00"/>
    <b v="1"/>
    <n v="12"/>
    <x v="2"/>
    <s v="2014"/>
    <n v="0"/>
  </r>
  <r>
    <x v="0"/>
    <x v="2"/>
    <x v="1"/>
    <s v="High"/>
    <n v="293"/>
    <n v="5"/>
    <n v="7"/>
    <n v="2051"/>
    <n v="287.14"/>
    <n v="1763.8600000000001"/>
    <n v="1465"/>
    <n v="298.86000000000013"/>
    <d v="2014-02-01T00:00:00"/>
    <b v="1"/>
    <n v="2"/>
    <x v="8"/>
    <s v="2014"/>
    <n v="0"/>
  </r>
  <r>
    <x v="0"/>
    <x v="4"/>
    <x v="1"/>
    <s v="High"/>
    <n v="2996"/>
    <n v="5"/>
    <n v="7"/>
    <n v="20972"/>
    <n v="2936.08"/>
    <n v="18035.919999999998"/>
    <n v="14980"/>
    <n v="3055.9199999999983"/>
    <d v="2013-10-01T00:00:00"/>
    <b v="1"/>
    <n v="10"/>
    <x v="7"/>
    <s v="2013"/>
    <n v="0"/>
  </r>
  <r>
    <x v="1"/>
    <x v="1"/>
    <x v="2"/>
    <s v="High"/>
    <n v="278"/>
    <n v="10"/>
    <n v="15"/>
    <n v="4170"/>
    <n v="583.79999999999995"/>
    <n v="3586.2"/>
    <n v="2780"/>
    <n v="806.19999999999982"/>
    <d v="2014-02-01T00:00:00"/>
    <b v="1"/>
    <n v="2"/>
    <x v="8"/>
    <s v="2014"/>
    <n v="0"/>
  </r>
  <r>
    <x v="0"/>
    <x v="0"/>
    <x v="2"/>
    <s v="High"/>
    <n v="2428"/>
    <n v="10"/>
    <n v="20"/>
    <n v="48560"/>
    <n v="6798.4"/>
    <n v="41761.599999999999"/>
    <n v="24280"/>
    <n v="17481.599999999999"/>
    <d v="2014-03-01T00:00:00"/>
    <b v="1"/>
    <n v="3"/>
    <x v="3"/>
    <s v="2014"/>
    <n v="0"/>
  </r>
  <r>
    <x v="1"/>
    <x v="4"/>
    <x v="2"/>
    <s v="High"/>
    <n v="1767"/>
    <n v="10"/>
    <n v="15"/>
    <n v="26505"/>
    <n v="3710.7"/>
    <n v="22794.3"/>
    <n v="17670"/>
    <n v="5124.2999999999993"/>
    <d v="2014-09-01T00:00:00"/>
    <b v="1"/>
    <n v="9"/>
    <x v="6"/>
    <s v="2014"/>
    <n v="0"/>
  </r>
  <r>
    <x v="2"/>
    <x v="2"/>
    <x v="2"/>
    <s v="High"/>
    <n v="1393"/>
    <n v="10"/>
    <n v="12"/>
    <n v="16716"/>
    <n v="2340.2399999999998"/>
    <n v="14375.76"/>
    <n v="4179"/>
    <n v="10196.76"/>
    <d v="2014-10-01T00:00:00"/>
    <b v="1"/>
    <n v="10"/>
    <x v="7"/>
    <s v="2014"/>
    <n v="0"/>
  </r>
  <r>
    <x v="0"/>
    <x v="1"/>
    <x v="4"/>
    <s v="High"/>
    <n v="280"/>
    <n v="250"/>
    <n v="7"/>
    <n v="1960"/>
    <n v="274.39999999999998"/>
    <n v="1685.6"/>
    <n v="1400"/>
    <n v="285.59999999999991"/>
    <d v="2014-12-01T00:00:00"/>
    <b v="1"/>
    <n v="12"/>
    <x v="2"/>
    <s v="2014"/>
    <n v="0"/>
  </r>
  <r>
    <x v="2"/>
    <x v="2"/>
    <x v="5"/>
    <s v="High"/>
    <n v="1393"/>
    <n v="260"/>
    <n v="12"/>
    <n v="16716"/>
    <n v="2340.2399999999998"/>
    <n v="14375.76"/>
    <n v="4179"/>
    <n v="10196.76"/>
    <d v="2014-10-01T00:00:00"/>
    <b v="1"/>
    <n v="10"/>
    <x v="7"/>
    <s v="2014"/>
    <n v="0"/>
  </r>
  <r>
    <x v="2"/>
    <x v="4"/>
    <x v="5"/>
    <s v="High"/>
    <n v="2015"/>
    <n v="260"/>
    <n v="12"/>
    <n v="24180"/>
    <n v="3385.2"/>
    <n v="20794.8"/>
    <n v="6045"/>
    <n v="14749.8"/>
    <d v="2013-12-01T00:00:00"/>
    <b v="1"/>
    <n v="12"/>
    <x v="2"/>
    <s v="2013"/>
    <n v="0"/>
  </r>
  <r>
    <x v="4"/>
    <x v="3"/>
    <x v="0"/>
    <s v="High"/>
    <n v="801"/>
    <n v="3"/>
    <n v="300"/>
    <n v="240300"/>
    <n v="33642"/>
    <n v="206658"/>
    <n v="200250"/>
    <n v="6408"/>
    <d v="2014-07-01T00:00:00"/>
    <b v="1"/>
    <n v="7"/>
    <x v="4"/>
    <s v="2014"/>
    <n v="0"/>
  </r>
  <r>
    <x v="3"/>
    <x v="2"/>
    <x v="0"/>
    <s v="High"/>
    <n v="1023"/>
    <n v="3"/>
    <n v="125"/>
    <n v="127875"/>
    <n v="17902.5"/>
    <n v="109972.5"/>
    <n v="122760"/>
    <n v="-12787.5"/>
    <d v="2013-09-01T00:00:00"/>
    <b v="1"/>
    <n v="9"/>
    <x v="6"/>
    <s v="2013"/>
    <n v="0"/>
  </r>
  <r>
    <x v="4"/>
    <x v="0"/>
    <x v="0"/>
    <s v="High"/>
    <n v="1496"/>
    <n v="3"/>
    <n v="300"/>
    <n v="448800"/>
    <n v="62832"/>
    <n v="385968"/>
    <n v="374000"/>
    <n v="11968"/>
    <d v="2014-10-01T00:00:00"/>
    <b v="1"/>
    <n v="10"/>
    <x v="7"/>
    <s v="2014"/>
    <n v="0"/>
  </r>
  <r>
    <x v="4"/>
    <x v="4"/>
    <x v="0"/>
    <s v="High"/>
    <n v="1010"/>
    <n v="3"/>
    <n v="300"/>
    <n v="303000"/>
    <n v="42420"/>
    <n v="260580"/>
    <n v="252500"/>
    <n v="8080"/>
    <d v="2014-10-01T00:00:00"/>
    <b v="1"/>
    <n v="10"/>
    <x v="7"/>
    <s v="2014"/>
    <n v="0"/>
  </r>
  <r>
    <x v="1"/>
    <x v="1"/>
    <x v="0"/>
    <s v="High"/>
    <n v="1513"/>
    <n v="3"/>
    <n v="15"/>
    <n v="22695"/>
    <n v="3177.3"/>
    <n v="19517.7"/>
    <n v="15130"/>
    <n v="4387.7000000000007"/>
    <d v="2014-11-01T00:00:00"/>
    <b v="1"/>
    <n v="11"/>
    <x v="9"/>
    <s v="2014"/>
    <n v="0"/>
  </r>
  <r>
    <x v="1"/>
    <x v="0"/>
    <x v="0"/>
    <s v="High"/>
    <n v="2300"/>
    <n v="3"/>
    <n v="15"/>
    <n v="34500"/>
    <n v="4830"/>
    <n v="29670"/>
    <n v="23000"/>
    <n v="6670"/>
    <d v="2014-12-01T00:00:00"/>
    <b v="1"/>
    <n v="12"/>
    <x v="2"/>
    <s v="2014"/>
    <n v="0"/>
  </r>
  <r>
    <x v="3"/>
    <x v="3"/>
    <x v="0"/>
    <s v="High"/>
    <n v="2821"/>
    <n v="3"/>
    <n v="125"/>
    <n v="352625"/>
    <n v="49367.5"/>
    <n v="303257.5"/>
    <n v="338520"/>
    <n v="-35262.5"/>
    <d v="2013-12-01T00:00:00"/>
    <b v="1"/>
    <n v="12"/>
    <x v="2"/>
    <s v="2013"/>
    <n v="0"/>
  </r>
  <r>
    <x v="0"/>
    <x v="0"/>
    <x v="1"/>
    <s v="High"/>
    <n v="2227.5"/>
    <n v="5"/>
    <n v="350"/>
    <n v="779625"/>
    <n v="109147.5"/>
    <n v="670477.5"/>
    <n v="579150"/>
    <n v="91327.5"/>
    <d v="2014-01-01T00:00:00"/>
    <b v="1"/>
    <n v="1"/>
    <x v="0"/>
    <s v="2014"/>
    <n v="0"/>
  </r>
  <r>
    <x v="0"/>
    <x v="1"/>
    <x v="1"/>
    <s v="High"/>
    <n v="1199"/>
    <n v="5"/>
    <n v="350"/>
    <n v="419650"/>
    <n v="58751"/>
    <n v="360899"/>
    <n v="311740"/>
    <n v="49159"/>
    <d v="2014-04-01T00:00:00"/>
    <b v="1"/>
    <n v="4"/>
    <x v="10"/>
    <s v="2014"/>
    <n v="0"/>
  </r>
  <r>
    <x v="0"/>
    <x v="0"/>
    <x v="1"/>
    <s v="High"/>
    <n v="200"/>
    <n v="5"/>
    <n v="350"/>
    <n v="70000"/>
    <n v="9800"/>
    <n v="60200"/>
    <n v="52000"/>
    <n v="8200"/>
    <d v="2014-05-01T00:00:00"/>
    <b v="1"/>
    <n v="5"/>
    <x v="11"/>
    <s v="2014"/>
    <n v="0"/>
  </r>
  <r>
    <x v="0"/>
    <x v="0"/>
    <x v="1"/>
    <s v="High"/>
    <n v="388"/>
    <n v="5"/>
    <n v="7"/>
    <n v="2716"/>
    <n v="380.24"/>
    <n v="2335.7600000000002"/>
    <n v="1940"/>
    <n v="395.76000000000022"/>
    <d v="2014-09-01T00:00:00"/>
    <b v="1"/>
    <n v="9"/>
    <x v="6"/>
    <s v="2014"/>
    <n v="0"/>
  </r>
  <r>
    <x v="0"/>
    <x v="3"/>
    <x v="1"/>
    <s v="High"/>
    <n v="1727"/>
    <n v="5"/>
    <n v="7"/>
    <n v="12089"/>
    <n v="1692.46"/>
    <n v="10396.540000000001"/>
    <n v="8635"/>
    <n v="1761.5400000000009"/>
    <d v="2013-10-01T00:00:00"/>
    <b v="1"/>
    <n v="10"/>
    <x v="7"/>
    <s v="2013"/>
    <n v="0"/>
  </r>
  <r>
    <x v="1"/>
    <x v="0"/>
    <x v="1"/>
    <s v="High"/>
    <n v="2300"/>
    <n v="5"/>
    <n v="15"/>
    <n v="34500"/>
    <n v="4830"/>
    <n v="29670"/>
    <n v="23000"/>
    <n v="6670"/>
    <d v="2014-12-01T00:00:00"/>
    <b v="1"/>
    <n v="12"/>
    <x v="2"/>
    <s v="2014"/>
    <n v="0"/>
  </r>
  <r>
    <x v="0"/>
    <x v="3"/>
    <x v="2"/>
    <s v="High"/>
    <n v="260"/>
    <n v="10"/>
    <n v="20"/>
    <n v="5200"/>
    <n v="728"/>
    <n v="4472"/>
    <n v="2600"/>
    <n v="1872"/>
    <d v="2014-02-01T00:00:00"/>
    <b v="1"/>
    <n v="2"/>
    <x v="8"/>
    <s v="2014"/>
    <n v="0"/>
  </r>
  <r>
    <x v="1"/>
    <x v="0"/>
    <x v="2"/>
    <s v="High"/>
    <n v="2470"/>
    <n v="10"/>
    <n v="15"/>
    <n v="37050"/>
    <n v="5187"/>
    <n v="31863"/>
    <n v="24700"/>
    <n v="7163"/>
    <d v="2013-09-01T00:00:00"/>
    <b v="1"/>
    <n v="9"/>
    <x v="6"/>
    <s v="2013"/>
    <n v="0"/>
  </r>
  <r>
    <x v="1"/>
    <x v="0"/>
    <x v="2"/>
    <s v="High"/>
    <n v="1743"/>
    <n v="10"/>
    <n v="15"/>
    <n v="26145"/>
    <n v="3660.3"/>
    <n v="22484.7"/>
    <n v="17430"/>
    <n v="5054.7000000000007"/>
    <d v="2013-10-01T00:00:00"/>
    <b v="1"/>
    <n v="10"/>
    <x v="7"/>
    <s v="2013"/>
    <n v="0"/>
  </r>
  <r>
    <x v="2"/>
    <x v="4"/>
    <x v="2"/>
    <s v="High"/>
    <n v="2914"/>
    <n v="10"/>
    <n v="12"/>
    <n v="34968"/>
    <n v="4895.5200000000004"/>
    <n v="30072.48"/>
    <n v="8742"/>
    <n v="21330.48"/>
    <d v="2014-10-01T00:00:00"/>
    <b v="1"/>
    <n v="10"/>
    <x v="7"/>
    <s v="2014"/>
    <n v="0"/>
  </r>
  <r>
    <x v="0"/>
    <x v="2"/>
    <x v="2"/>
    <s v="High"/>
    <n v="1731"/>
    <n v="10"/>
    <n v="7"/>
    <n v="12117"/>
    <n v="1696.38"/>
    <n v="10420.619999999999"/>
    <n v="8655"/>
    <n v="1765.619999999999"/>
    <d v="2014-10-01T00:00:00"/>
    <b v="1"/>
    <n v="10"/>
    <x v="7"/>
    <s v="2014"/>
    <n v="0"/>
  </r>
  <r>
    <x v="0"/>
    <x v="0"/>
    <x v="2"/>
    <s v="High"/>
    <n v="700"/>
    <n v="10"/>
    <n v="350"/>
    <n v="245000"/>
    <n v="34300"/>
    <n v="210700"/>
    <n v="182000"/>
    <n v="28700"/>
    <d v="2014-11-01T00:00:00"/>
    <b v="1"/>
    <n v="11"/>
    <x v="9"/>
    <s v="2014"/>
    <n v="0"/>
  </r>
  <r>
    <x v="2"/>
    <x v="0"/>
    <x v="2"/>
    <s v="High"/>
    <n v="2222"/>
    <n v="10"/>
    <n v="12"/>
    <n v="26664"/>
    <n v="3732.96"/>
    <n v="22931.040000000001"/>
    <n v="6666"/>
    <n v="16265.04"/>
    <d v="2013-11-01T00:00:00"/>
    <b v="1"/>
    <n v="11"/>
    <x v="9"/>
    <s v="2013"/>
    <n v="0"/>
  </r>
  <r>
    <x v="0"/>
    <x v="4"/>
    <x v="2"/>
    <s v="High"/>
    <n v="1177"/>
    <n v="10"/>
    <n v="350"/>
    <n v="411950"/>
    <n v="57673"/>
    <n v="354277"/>
    <n v="306020"/>
    <n v="48257"/>
    <d v="2014-11-01T00:00:00"/>
    <b v="1"/>
    <n v="11"/>
    <x v="9"/>
    <s v="2014"/>
    <n v="0"/>
  </r>
  <r>
    <x v="0"/>
    <x v="2"/>
    <x v="2"/>
    <s v="High"/>
    <n v="1922"/>
    <n v="10"/>
    <n v="350"/>
    <n v="672700"/>
    <n v="94178"/>
    <n v="578522"/>
    <n v="499720"/>
    <n v="78802"/>
    <d v="2013-11-01T00:00:00"/>
    <b v="1"/>
    <n v="11"/>
    <x v="9"/>
    <s v="2013"/>
    <n v="0"/>
  </r>
  <r>
    <x v="3"/>
    <x v="3"/>
    <x v="3"/>
    <s v="High"/>
    <n v="1575"/>
    <n v="120"/>
    <n v="125"/>
    <n v="196875"/>
    <n v="27562.5"/>
    <n v="169312.5"/>
    <n v="189000"/>
    <n v="-19687.5"/>
    <d v="2014-02-01T00:00:00"/>
    <b v="1"/>
    <n v="2"/>
    <x v="8"/>
    <s v="2014"/>
    <n v="0"/>
  </r>
  <r>
    <x v="0"/>
    <x v="4"/>
    <x v="3"/>
    <s v="High"/>
    <n v="606"/>
    <n v="120"/>
    <n v="20"/>
    <n v="12120"/>
    <n v="1696.8000000000002"/>
    <n v="10423.200000000001"/>
    <n v="6060"/>
    <n v="4363.2000000000007"/>
    <d v="2014-04-01T00:00:00"/>
    <b v="1"/>
    <n v="4"/>
    <x v="10"/>
    <s v="2014"/>
    <n v="0"/>
  </r>
  <r>
    <x v="4"/>
    <x v="4"/>
    <x v="3"/>
    <s v="High"/>
    <n v="2460"/>
    <n v="120"/>
    <n v="300"/>
    <n v="738000"/>
    <n v="103320"/>
    <n v="634680"/>
    <n v="615000"/>
    <n v="19680"/>
    <d v="2014-07-01T00:00:00"/>
    <b v="1"/>
    <n v="7"/>
    <x v="4"/>
    <s v="2014"/>
    <n v="0"/>
  </r>
  <r>
    <x v="4"/>
    <x v="0"/>
    <x v="3"/>
    <s v="High"/>
    <n v="269"/>
    <n v="120"/>
    <n v="300"/>
    <n v="80700"/>
    <n v="11298"/>
    <n v="69402"/>
    <n v="67250"/>
    <n v="2152"/>
    <d v="2013-10-01T00:00:00"/>
    <b v="1"/>
    <n v="10"/>
    <x v="7"/>
    <s v="2013"/>
    <n v="0"/>
  </r>
  <r>
    <x v="4"/>
    <x v="1"/>
    <x v="3"/>
    <s v="High"/>
    <n v="2536"/>
    <n v="120"/>
    <n v="300"/>
    <n v="760800"/>
    <n v="106512"/>
    <n v="654288"/>
    <n v="634000"/>
    <n v="20288"/>
    <d v="2013-11-01T00:00:00"/>
    <b v="1"/>
    <n v="11"/>
    <x v="9"/>
    <s v="2013"/>
    <n v="0"/>
  </r>
  <r>
    <x v="0"/>
    <x v="3"/>
    <x v="4"/>
    <s v="High"/>
    <n v="2903"/>
    <n v="250"/>
    <n v="7"/>
    <n v="20321"/>
    <n v="2844.94"/>
    <n v="17476.060000000001"/>
    <n v="14515"/>
    <n v="2961.0600000000013"/>
    <d v="2014-03-01T00:00:00"/>
    <b v="1"/>
    <n v="3"/>
    <x v="3"/>
    <s v="2014"/>
    <n v="0"/>
  </r>
  <r>
    <x v="4"/>
    <x v="4"/>
    <x v="4"/>
    <s v="High"/>
    <n v="2541"/>
    <n v="250"/>
    <n v="300"/>
    <n v="762300"/>
    <n v="106722"/>
    <n v="655578"/>
    <n v="635250"/>
    <n v="20328"/>
    <d v="2014-08-01T00:00:00"/>
    <b v="1"/>
    <n v="8"/>
    <x v="5"/>
    <s v="2014"/>
    <n v="0"/>
  </r>
  <r>
    <x v="4"/>
    <x v="0"/>
    <x v="4"/>
    <s v="High"/>
    <n v="269"/>
    <n v="250"/>
    <n v="300"/>
    <n v="80700"/>
    <n v="11298"/>
    <n v="69402"/>
    <n v="67250"/>
    <n v="2152"/>
    <d v="2013-10-01T00:00:00"/>
    <b v="1"/>
    <n v="10"/>
    <x v="7"/>
    <s v="2013"/>
    <n v="0"/>
  </r>
  <r>
    <x v="4"/>
    <x v="0"/>
    <x v="4"/>
    <s v="High"/>
    <n v="1496"/>
    <n v="250"/>
    <n v="300"/>
    <n v="448800"/>
    <n v="62832"/>
    <n v="385968"/>
    <n v="374000"/>
    <n v="11968"/>
    <d v="2014-10-01T00:00:00"/>
    <b v="1"/>
    <n v="10"/>
    <x v="7"/>
    <s v="2014"/>
    <n v="0"/>
  </r>
  <r>
    <x v="4"/>
    <x v="4"/>
    <x v="4"/>
    <s v="High"/>
    <n v="1010"/>
    <n v="250"/>
    <n v="300"/>
    <n v="303000"/>
    <n v="42420"/>
    <n v="260580"/>
    <n v="252500"/>
    <n v="8080"/>
    <d v="2014-10-01T00:00:00"/>
    <b v="1"/>
    <n v="10"/>
    <x v="7"/>
    <s v="2014"/>
    <n v="0"/>
  </r>
  <r>
    <x v="0"/>
    <x v="2"/>
    <x v="4"/>
    <s v="High"/>
    <n v="1281"/>
    <n v="250"/>
    <n v="350"/>
    <n v="448350"/>
    <n v="62769"/>
    <n v="385581"/>
    <n v="333060"/>
    <n v="52521"/>
    <d v="2013-12-01T00:00:00"/>
    <b v="1"/>
    <n v="12"/>
    <x v="2"/>
    <s v="2013"/>
    <n v="0"/>
  </r>
  <r>
    <x v="4"/>
    <x v="0"/>
    <x v="5"/>
    <s v="High"/>
    <n v="888"/>
    <n v="260"/>
    <n v="300"/>
    <n v="266400"/>
    <n v="37296"/>
    <n v="229104"/>
    <n v="222000"/>
    <n v="7104"/>
    <d v="2014-03-01T00:00:00"/>
    <b v="1"/>
    <n v="3"/>
    <x v="3"/>
    <s v="2014"/>
    <n v="0"/>
  </r>
  <r>
    <x v="3"/>
    <x v="4"/>
    <x v="5"/>
    <s v="High"/>
    <n v="2844"/>
    <n v="260"/>
    <n v="125"/>
    <n v="355500"/>
    <n v="49770"/>
    <n v="305730"/>
    <n v="341280"/>
    <n v="-35550"/>
    <d v="2014-05-01T00:00:00"/>
    <b v="1"/>
    <n v="5"/>
    <x v="11"/>
    <s v="2014"/>
    <n v="0"/>
  </r>
  <r>
    <x v="2"/>
    <x v="2"/>
    <x v="5"/>
    <s v="High"/>
    <n v="2475"/>
    <n v="260"/>
    <n v="12"/>
    <n v="29700"/>
    <n v="4158"/>
    <n v="25542"/>
    <n v="7425"/>
    <n v="18117"/>
    <d v="2014-08-01T00:00:00"/>
    <b v="1"/>
    <n v="8"/>
    <x v="5"/>
    <s v="2014"/>
    <n v="0"/>
  </r>
  <r>
    <x v="1"/>
    <x v="0"/>
    <x v="5"/>
    <s v="High"/>
    <n v="1743"/>
    <n v="260"/>
    <n v="15"/>
    <n v="26145"/>
    <n v="3660.3"/>
    <n v="22484.7"/>
    <n v="17430"/>
    <n v="5054.7000000000007"/>
    <d v="2013-10-01T00:00:00"/>
    <b v="1"/>
    <n v="10"/>
    <x v="7"/>
    <s v="2013"/>
    <n v="0"/>
  </r>
  <r>
    <x v="2"/>
    <x v="4"/>
    <x v="5"/>
    <s v="High"/>
    <n v="2914"/>
    <n v="260"/>
    <n v="12"/>
    <n v="34968"/>
    <n v="4895.5200000000004"/>
    <n v="30072.48"/>
    <n v="8742"/>
    <n v="21330.48"/>
    <d v="2014-10-01T00:00:00"/>
    <b v="1"/>
    <n v="10"/>
    <x v="7"/>
    <s v="2014"/>
    <n v="0"/>
  </r>
  <r>
    <x v="0"/>
    <x v="2"/>
    <x v="5"/>
    <s v="High"/>
    <n v="1731"/>
    <n v="260"/>
    <n v="7"/>
    <n v="12117"/>
    <n v="1696.38"/>
    <n v="10420.619999999999"/>
    <n v="8655"/>
    <n v="1765.619999999999"/>
    <d v="2014-10-01T00:00:00"/>
    <b v="1"/>
    <n v="10"/>
    <x v="7"/>
    <s v="2014"/>
    <n v="0"/>
  </r>
  <r>
    <x v="0"/>
    <x v="3"/>
    <x v="5"/>
    <s v="High"/>
    <n v="1727"/>
    <n v="260"/>
    <n v="7"/>
    <n v="12089"/>
    <n v="1692.46"/>
    <n v="10396.540000000001"/>
    <n v="8635"/>
    <n v="1761.5400000000009"/>
    <d v="2013-10-01T00:00:00"/>
    <b v="1"/>
    <n v="10"/>
    <x v="7"/>
    <s v="2013"/>
    <n v="0"/>
  </r>
  <r>
    <x v="1"/>
    <x v="3"/>
    <x v="5"/>
    <s v="High"/>
    <n v="1870"/>
    <n v="260"/>
    <n v="15"/>
    <n v="28050"/>
    <n v="3927"/>
    <n v="24123"/>
    <n v="18700"/>
    <n v="5423"/>
    <d v="2013-11-01T00:00:00"/>
    <b v="1"/>
    <n v="11"/>
    <x v="9"/>
    <s v="2013"/>
    <n v="0"/>
  </r>
  <r>
    <x v="3"/>
    <x v="2"/>
    <x v="0"/>
    <s v="High"/>
    <n v="1174"/>
    <n v="3"/>
    <n v="125"/>
    <n v="146750"/>
    <n v="22012.5"/>
    <n v="124737.5"/>
    <n v="140880"/>
    <n v="-16142.5"/>
    <d v="2014-08-01T00:00:00"/>
    <b v="1"/>
    <n v="8"/>
    <x v="5"/>
    <s v="2014"/>
    <n v="0"/>
  </r>
  <r>
    <x v="3"/>
    <x v="1"/>
    <x v="0"/>
    <s v="High"/>
    <n v="2767"/>
    <n v="3"/>
    <n v="125"/>
    <n v="345875"/>
    <n v="51881.25"/>
    <n v="293993.75"/>
    <n v="332040"/>
    <n v="-38046.25"/>
    <d v="2014-08-01T00:00:00"/>
    <b v="1"/>
    <n v="8"/>
    <x v="5"/>
    <s v="2014"/>
    <n v="0"/>
  </r>
  <r>
    <x v="3"/>
    <x v="1"/>
    <x v="0"/>
    <s v="High"/>
    <n v="1085"/>
    <n v="3"/>
    <n v="125"/>
    <n v="135625"/>
    <n v="20343.75"/>
    <n v="115281.25"/>
    <n v="130200"/>
    <n v="-14918.75"/>
    <d v="2014-10-01T00:00:00"/>
    <b v="1"/>
    <n v="10"/>
    <x v="7"/>
    <s v="2014"/>
    <n v="0"/>
  </r>
  <r>
    <x v="4"/>
    <x v="3"/>
    <x v="1"/>
    <s v="High"/>
    <n v="546"/>
    <n v="5"/>
    <n v="300"/>
    <n v="163800"/>
    <n v="24570"/>
    <n v="139230"/>
    <n v="136500"/>
    <n v="2730"/>
    <d v="2014-10-01T00:00:00"/>
    <b v="1"/>
    <n v="10"/>
    <x v="7"/>
    <s v="2014"/>
    <n v="0"/>
  </r>
  <r>
    <x v="0"/>
    <x v="1"/>
    <x v="2"/>
    <s v="High"/>
    <n v="1158"/>
    <n v="10"/>
    <n v="20"/>
    <n v="23160"/>
    <n v="3474"/>
    <n v="19686"/>
    <n v="11580"/>
    <n v="8106"/>
    <d v="2014-03-01T00:00:00"/>
    <b v="1"/>
    <n v="3"/>
    <x v="3"/>
    <s v="2014"/>
    <n v="0"/>
  </r>
  <r>
    <x v="1"/>
    <x v="0"/>
    <x v="2"/>
    <s v="High"/>
    <n v="1614"/>
    <n v="10"/>
    <n v="15"/>
    <n v="24210"/>
    <n v="3631.5"/>
    <n v="20578.5"/>
    <n v="16140"/>
    <n v="4438.5"/>
    <d v="2014-04-01T00:00:00"/>
    <b v="1"/>
    <n v="4"/>
    <x v="10"/>
    <s v="2014"/>
    <n v="0"/>
  </r>
  <r>
    <x v="0"/>
    <x v="3"/>
    <x v="2"/>
    <s v="High"/>
    <n v="2535"/>
    <n v="10"/>
    <n v="7"/>
    <n v="17745"/>
    <n v="2661.75"/>
    <n v="15083.25"/>
    <n v="12675"/>
    <n v="2408.25"/>
    <d v="2014-04-01T00:00:00"/>
    <b v="1"/>
    <n v="4"/>
    <x v="10"/>
    <s v="2014"/>
    <n v="0"/>
  </r>
  <r>
    <x v="0"/>
    <x v="3"/>
    <x v="2"/>
    <s v="High"/>
    <n v="2851"/>
    <n v="10"/>
    <n v="350"/>
    <n v="997850"/>
    <n v="149677.5"/>
    <n v="848172.5"/>
    <n v="741260"/>
    <n v="106912.5"/>
    <d v="2014-05-01T00:00:00"/>
    <b v="1"/>
    <n v="5"/>
    <x v="11"/>
    <s v="2014"/>
    <n v="0"/>
  </r>
  <r>
    <x v="1"/>
    <x v="0"/>
    <x v="2"/>
    <s v="High"/>
    <n v="2559"/>
    <n v="10"/>
    <n v="15"/>
    <n v="38385"/>
    <n v="5757.75"/>
    <n v="32627.25"/>
    <n v="25590"/>
    <n v="7037.25"/>
    <d v="2014-08-01T00:00:00"/>
    <b v="1"/>
    <n v="8"/>
    <x v="5"/>
    <s v="2014"/>
    <n v="0"/>
  </r>
  <r>
    <x v="0"/>
    <x v="4"/>
    <x v="2"/>
    <s v="High"/>
    <n v="267"/>
    <n v="10"/>
    <n v="20"/>
    <n v="5340"/>
    <n v="801"/>
    <n v="4539"/>
    <n v="2670"/>
    <n v="1869"/>
    <d v="2013-10-01T00:00:00"/>
    <b v="1"/>
    <n v="10"/>
    <x v="7"/>
    <s v="2013"/>
    <n v="0"/>
  </r>
  <r>
    <x v="3"/>
    <x v="1"/>
    <x v="2"/>
    <s v="High"/>
    <n v="1085"/>
    <n v="10"/>
    <n v="125"/>
    <n v="135625"/>
    <n v="20343.75"/>
    <n v="115281.25"/>
    <n v="130200"/>
    <n v="-14918.75"/>
    <d v="2014-10-01T00:00:00"/>
    <b v="1"/>
    <n v="10"/>
    <x v="7"/>
    <s v="2014"/>
    <n v="0"/>
  </r>
  <r>
    <x v="1"/>
    <x v="1"/>
    <x v="2"/>
    <s v="High"/>
    <n v="1175"/>
    <n v="10"/>
    <n v="15"/>
    <n v="17625"/>
    <n v="2643.75"/>
    <n v="14981.25"/>
    <n v="11750"/>
    <n v="3231.25"/>
    <d v="2014-10-01T00:00:00"/>
    <b v="1"/>
    <n v="10"/>
    <x v="7"/>
    <s v="2014"/>
    <n v="0"/>
  </r>
  <r>
    <x v="0"/>
    <x v="4"/>
    <x v="2"/>
    <s v="High"/>
    <n v="2007"/>
    <n v="10"/>
    <n v="350"/>
    <n v="702450"/>
    <n v="105367.5"/>
    <n v="597082.5"/>
    <n v="521820"/>
    <n v="75262.5"/>
    <d v="2013-11-01T00:00:00"/>
    <b v="1"/>
    <n v="11"/>
    <x v="9"/>
    <s v="2013"/>
    <n v="0"/>
  </r>
  <r>
    <x v="0"/>
    <x v="3"/>
    <x v="2"/>
    <s v="High"/>
    <n v="2151"/>
    <n v="10"/>
    <n v="350"/>
    <n v="752850"/>
    <n v="112927.5"/>
    <n v="639922.5"/>
    <n v="559260"/>
    <n v="80662.5"/>
    <d v="2013-11-01T00:00:00"/>
    <b v="1"/>
    <n v="11"/>
    <x v="9"/>
    <s v="2013"/>
    <n v="0"/>
  </r>
  <r>
    <x v="2"/>
    <x v="4"/>
    <x v="2"/>
    <s v="High"/>
    <n v="914"/>
    <n v="10"/>
    <n v="12"/>
    <n v="10968"/>
    <n v="1645.2"/>
    <n v="9322.7999999999993"/>
    <n v="2742"/>
    <n v="6580.7999999999993"/>
    <d v="2014-12-01T00:00:00"/>
    <b v="1"/>
    <n v="12"/>
    <x v="2"/>
    <s v="2014"/>
    <n v="0"/>
  </r>
  <r>
    <x v="0"/>
    <x v="2"/>
    <x v="2"/>
    <s v="High"/>
    <n v="293"/>
    <n v="10"/>
    <n v="20"/>
    <n v="5860"/>
    <n v="879"/>
    <n v="4981"/>
    <n v="2930"/>
    <n v="2051"/>
    <d v="2014-12-01T00:00:00"/>
    <b v="1"/>
    <n v="12"/>
    <x v="2"/>
    <s v="2014"/>
    <n v="0"/>
  </r>
  <r>
    <x v="2"/>
    <x v="3"/>
    <x v="3"/>
    <s v="High"/>
    <n v="500"/>
    <n v="120"/>
    <n v="12"/>
    <n v="6000"/>
    <n v="900"/>
    <n v="5100"/>
    <n v="1500"/>
    <n v="3600"/>
    <d v="2014-03-01T00:00:00"/>
    <b v="1"/>
    <n v="3"/>
    <x v="3"/>
    <s v="2014"/>
    <n v="0"/>
  </r>
  <r>
    <x v="1"/>
    <x v="2"/>
    <x v="3"/>
    <s v="High"/>
    <n v="2826"/>
    <n v="120"/>
    <n v="15"/>
    <n v="42390"/>
    <n v="6358.5"/>
    <n v="36031.5"/>
    <n v="28260"/>
    <n v="7771.5"/>
    <d v="2014-05-01T00:00:00"/>
    <b v="1"/>
    <n v="5"/>
    <x v="11"/>
    <s v="2014"/>
    <n v="0"/>
  </r>
  <r>
    <x v="3"/>
    <x v="2"/>
    <x v="3"/>
    <s v="High"/>
    <n v="663"/>
    <n v="120"/>
    <n v="125"/>
    <n v="82875"/>
    <n v="12431.25"/>
    <n v="70443.75"/>
    <n v="79560"/>
    <n v="-9116.25"/>
    <d v="2014-09-01T00:00:00"/>
    <b v="1"/>
    <n v="9"/>
    <x v="6"/>
    <s v="2014"/>
    <n v="0"/>
  </r>
  <r>
    <x v="4"/>
    <x v="4"/>
    <x v="3"/>
    <s v="High"/>
    <n v="2574"/>
    <n v="120"/>
    <n v="300"/>
    <n v="772200"/>
    <n v="115830"/>
    <n v="656370"/>
    <n v="643500"/>
    <n v="12870"/>
    <d v="2013-11-01T00:00:00"/>
    <b v="1"/>
    <n v="11"/>
    <x v="9"/>
    <s v="2013"/>
    <n v="0"/>
  </r>
  <r>
    <x v="3"/>
    <x v="4"/>
    <x v="3"/>
    <s v="High"/>
    <n v="2438"/>
    <n v="120"/>
    <n v="125"/>
    <n v="304750"/>
    <n v="45712.5"/>
    <n v="259037.5"/>
    <n v="292560"/>
    <n v="-33522.5"/>
    <d v="2013-12-01T00:00:00"/>
    <b v="1"/>
    <n v="12"/>
    <x v="2"/>
    <s v="2013"/>
    <n v="0"/>
  </r>
  <r>
    <x v="2"/>
    <x v="4"/>
    <x v="3"/>
    <s v="High"/>
    <n v="914"/>
    <n v="120"/>
    <n v="12"/>
    <n v="10968"/>
    <n v="1645.2"/>
    <n v="9322.7999999999993"/>
    <n v="2742"/>
    <n v="6580.7999999999993"/>
    <d v="2014-12-01T00:00:00"/>
    <b v="1"/>
    <n v="12"/>
    <x v="2"/>
    <s v="2014"/>
    <n v="0"/>
  </r>
  <r>
    <x v="0"/>
    <x v="0"/>
    <x v="4"/>
    <s v="High"/>
    <n v="865.5"/>
    <n v="250"/>
    <n v="20"/>
    <n v="17310"/>
    <n v="2596.5"/>
    <n v="14713.5"/>
    <n v="8655"/>
    <n v="6058.5"/>
    <d v="2014-07-01T00:00:00"/>
    <b v="1"/>
    <n v="7"/>
    <x v="4"/>
    <s v="2014"/>
    <n v="0"/>
  </r>
  <r>
    <x v="1"/>
    <x v="1"/>
    <x v="4"/>
    <s v="High"/>
    <n v="492"/>
    <n v="250"/>
    <n v="15"/>
    <n v="7380"/>
    <n v="1107"/>
    <n v="6273"/>
    <n v="4920"/>
    <n v="1353"/>
    <d v="2014-07-01T00:00:00"/>
    <b v="1"/>
    <n v="7"/>
    <x v="4"/>
    <s v="2014"/>
    <n v="0"/>
  </r>
  <r>
    <x v="0"/>
    <x v="4"/>
    <x v="4"/>
    <s v="High"/>
    <n v="267"/>
    <n v="250"/>
    <n v="20"/>
    <n v="5340"/>
    <n v="801"/>
    <n v="4539"/>
    <n v="2670"/>
    <n v="1869"/>
    <d v="2013-10-01T00:00:00"/>
    <b v="1"/>
    <n v="10"/>
    <x v="7"/>
    <s v="2013"/>
    <n v="0"/>
  </r>
  <r>
    <x v="1"/>
    <x v="1"/>
    <x v="4"/>
    <s v="High"/>
    <n v="1175"/>
    <n v="250"/>
    <n v="15"/>
    <n v="17625"/>
    <n v="2643.75"/>
    <n v="14981.25"/>
    <n v="11750"/>
    <n v="3231.25"/>
    <d v="2014-10-01T00:00:00"/>
    <b v="1"/>
    <n v="10"/>
    <x v="7"/>
    <s v="2014"/>
    <n v="0"/>
  </r>
  <r>
    <x v="3"/>
    <x v="0"/>
    <x v="4"/>
    <s v="High"/>
    <n v="2954"/>
    <n v="250"/>
    <n v="125"/>
    <n v="369250"/>
    <n v="55387.5"/>
    <n v="313862.5"/>
    <n v="354480"/>
    <n v="-40617.5"/>
    <d v="2013-11-01T00:00:00"/>
    <b v="1"/>
    <n v="11"/>
    <x v="9"/>
    <s v="2013"/>
    <n v="0"/>
  </r>
  <r>
    <x v="3"/>
    <x v="1"/>
    <x v="4"/>
    <s v="High"/>
    <n v="552"/>
    <n v="250"/>
    <n v="125"/>
    <n v="69000"/>
    <n v="10350"/>
    <n v="58650"/>
    <n v="66240"/>
    <n v="-7590"/>
    <d v="2014-11-01T00:00:00"/>
    <b v="1"/>
    <n v="11"/>
    <x v="9"/>
    <s v="2014"/>
    <n v="0"/>
  </r>
  <r>
    <x v="0"/>
    <x v="2"/>
    <x v="4"/>
    <s v="High"/>
    <n v="293"/>
    <n v="250"/>
    <n v="20"/>
    <n v="5860"/>
    <n v="879"/>
    <n v="4981"/>
    <n v="2930"/>
    <n v="2051"/>
    <d v="2014-12-01T00:00:00"/>
    <b v="1"/>
    <n v="12"/>
    <x v="2"/>
    <s v="2014"/>
    <n v="0"/>
  </r>
  <r>
    <x v="4"/>
    <x v="2"/>
    <x v="5"/>
    <s v="High"/>
    <n v="2475"/>
    <n v="260"/>
    <n v="300"/>
    <n v="742500"/>
    <n v="111375"/>
    <n v="631125"/>
    <n v="618750"/>
    <n v="12375"/>
    <d v="2014-03-01T00:00:00"/>
    <b v="1"/>
    <n v="3"/>
    <x v="3"/>
    <s v="2014"/>
    <n v="0"/>
  </r>
  <r>
    <x v="4"/>
    <x v="3"/>
    <x v="5"/>
    <s v="High"/>
    <n v="546"/>
    <n v="260"/>
    <n v="300"/>
    <n v="163800"/>
    <n v="24570"/>
    <n v="139230"/>
    <n v="136500"/>
    <n v="2730"/>
    <d v="2014-10-01T00:00:00"/>
    <b v="1"/>
    <n v="10"/>
    <x v="7"/>
    <s v="2014"/>
    <n v="0"/>
  </r>
  <r>
    <x v="0"/>
    <x v="3"/>
    <x v="1"/>
    <s v="High"/>
    <n v="1368"/>
    <n v="5"/>
    <n v="7"/>
    <n v="9576"/>
    <n v="1436.4"/>
    <n v="8139.6"/>
    <n v="6840"/>
    <n v="1299.6000000000004"/>
    <d v="2014-02-01T00:00:00"/>
    <b v="1"/>
    <n v="2"/>
    <x v="8"/>
    <s v="2014"/>
    <n v="0"/>
  </r>
  <r>
    <x v="0"/>
    <x v="0"/>
    <x v="2"/>
    <s v="High"/>
    <n v="723"/>
    <n v="10"/>
    <n v="7"/>
    <n v="5061"/>
    <n v="759.15000000000009"/>
    <n v="4301.8500000000004"/>
    <n v="3615"/>
    <n v="686.85000000000014"/>
    <d v="2014-04-01T00:00:00"/>
    <b v="1"/>
    <n v="4"/>
    <x v="10"/>
    <s v="2014"/>
    <n v="0"/>
  </r>
  <r>
    <x v="2"/>
    <x v="4"/>
    <x v="4"/>
    <s v="High"/>
    <n v="1806"/>
    <n v="250"/>
    <n v="12"/>
    <n v="21672"/>
    <n v="3250.8"/>
    <n v="18421.2"/>
    <n v="5418"/>
    <n v="13003.2"/>
    <d v="2014-05-01T00:00:00"/>
    <b v="1"/>
    <n v="5"/>
    <x v="11"/>
    <s v="201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9EC40-7FFC-4EEE-A36F-7E382AE232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ies">
  <location ref="A7:B13" firstHeaderRow="1" firstDataRow="1" firstDataCol="1"/>
  <pivotFields count="18">
    <pivotField showAll="0"/>
    <pivotField axis="axisRow" showAll="0" sortType="descending">
      <items count="6">
        <item x="0"/>
        <item x="2"/>
        <item x="1"/>
        <item x="3"/>
        <item n="USA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showAll="0"/>
    <pivotField numFmtId="1" showAll="0"/>
    <pivotField showAll="0"/>
    <pivotField showAll="0"/>
    <pivotField numFmtId="164" showAll="0"/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Sales" fld="9" baseField="0" baseItem="0" numFmtId="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A1B5B-5FC4-4E3E-9729-F01506A879C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">
  <location ref="A19:B32" firstHeaderRow="1" firstDataRow="1" firstDataCol="1"/>
  <pivotFields count="18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showAll="0"/>
    <pivotField numFmtId="1" showAll="0"/>
    <pivotField axis="axisRow" showAll="0">
      <items count="13">
        <item n="Jan" x="0"/>
        <item n="Feb" x="8"/>
        <item n="Mar" x="3"/>
        <item n="Apr" x="10"/>
        <item x="11"/>
        <item x="1"/>
        <item x="4"/>
        <item n="Aug" x="5"/>
        <item n="Sep" x="6"/>
        <item n="Oct" x="7"/>
        <item n="Nov" x="9"/>
        <item n="Dec" x="2"/>
        <item t="default"/>
      </items>
    </pivotField>
    <pivotField showAll="0"/>
    <pivotField numFmtId="164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 Sales" fld="9" baseField="0" baseItem="0" numFmtId="4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A9A13-0250-4E88-9CAF-E594619A77A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s">
  <location ref="G7:H14" firstHeaderRow="1" firstDataRow="1" firstDataCol="1"/>
  <pivotFields count="18">
    <pivotField showAll="0"/>
    <pivotField showAll="0"/>
    <pivotField axis="axisRow" showAll="0" sortType="descending">
      <items count="7">
        <item x="5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showAll="0"/>
    <pivotField numFmtId="1" showAll="0"/>
    <pivotField showAll="0"/>
    <pivotField showAll="0"/>
    <pivotField numFmtId="164" showAll="0"/>
  </pivotFields>
  <rowFields count="1">
    <field x="2"/>
  </rowFields>
  <rowItems count="7">
    <i>
      <x v="3"/>
    </i>
    <i>
      <x v="5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Sum of  Sales" fld="9" baseField="0" baseItem="0" numFmtId="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1BD71-EB20-420A-991E-6ACA60868B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egments">
  <location ref="D7:E13" firstHeaderRow="1" firstDataRow="1" firstDataCol="1"/>
  <pivotFields count="18"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showAll="0"/>
    <pivotField numFmtId="1" showAll="0"/>
    <pivotField showAll="0"/>
    <pivotField showAll="0"/>
    <pivotField numFmtId="164" showAll="0"/>
  </pivotFields>
  <rowFields count="1">
    <field x="0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 of Profit" fld="11" baseField="0" baseItem="0" numFmtId="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R701" totalsRowShown="0" headerRowDxfId="33" dataDxfId="32" headerRowCellStyle="Currency" dataCellStyle="Currency">
  <autoFilter ref="A1:R701" xr:uid="{00000000-0009-0000-0100-000001000000}"/>
  <tableColumns count="18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31" dataCellStyle="Currency"/>
    <tableColumn id="19" xr3:uid="{00000000-0010-0000-0000-000013000000}" name="Discount Band" dataDxfId="30" dataCellStyle="Currency"/>
    <tableColumn id="6" xr3:uid="{00000000-0010-0000-0000-000006000000}" name="Units Sold"/>
    <tableColumn id="7" xr3:uid="{00000000-0010-0000-0000-000007000000}" name="Manufacturing Price" dataDxfId="29" dataCellStyle="Currency"/>
    <tableColumn id="8" xr3:uid="{00000000-0010-0000-0000-000008000000}" name="Sale Price" dataDxfId="28" dataCellStyle="Currency"/>
    <tableColumn id="9" xr3:uid="{00000000-0010-0000-0000-000009000000}" name="Gross Sales" dataDxfId="27" dataCellStyle="Currency"/>
    <tableColumn id="10" xr3:uid="{00000000-0010-0000-0000-00000A000000}" name="Discounts" dataDxfId="26" dataCellStyle="Currency"/>
    <tableColumn id="11" xr3:uid="{00000000-0010-0000-0000-00000B000000}" name=" Sales" dataDxfId="25" dataCellStyle="Currency"/>
    <tableColumn id="12" xr3:uid="{00000000-0010-0000-0000-00000C000000}" name="COGS" dataDxfId="24" dataCellStyle="Currency"/>
    <tableColumn id="13" xr3:uid="{00000000-0010-0000-0000-00000D000000}" name="Profit" dataDxfId="23" dataCellStyle="Currency"/>
    <tableColumn id="4" xr3:uid="{00000000-0010-0000-0000-000004000000}" name="Date" dataDxfId="22" dataCellStyle="Currency"/>
    <tableColumn id="5" xr3:uid="{F676FA85-2170-4252-AB60-D0428B37A18C}" name="Column1" dataDxfId="21" dataCellStyle="Currency">
      <calculatedColumnFormula>ISNUMBER(financials[[#This Row],[Date]])</calculatedColumnFormula>
    </tableColumn>
    <tableColumn id="17" xr3:uid="{00000000-0010-0000-0000-000011000000}" name="Month Number" dataDxfId="20" dataCellStyle="Currency"/>
    <tableColumn id="18" xr3:uid="{00000000-0010-0000-0000-000012000000}" name="Month Name" dataDxfId="19" dataCellStyle="Currency"/>
    <tableColumn id="20" xr3:uid="{00000000-0010-0000-0000-000014000000}" name="Year" dataDxfId="18" dataCellStyle="Currency"/>
    <tableColumn id="3" xr3:uid="{7156A7ED-218F-4FF2-9388-57C2FB92219F}" name="Duplicate Check" dataDxfId="17" dataCellStyle="Currency">
      <calculatedColumnFormula>COUNTIFS(A:A,A2,B:B,B2,C:C,C2,D:D,D2,E:E,E2,F:F,F2,G:G,G2,H:H,H2,I:I,I2,J:J,J2,K:K,K2,L:L,L2,M:M,M2,N:N,O2,O:O,P2,P:P,Q2)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F16333-F632-4DF7-B88D-B4C6C66F0C16}" name="financials3" displayName="financials3" ref="A1:R701" totalsRowShown="0" headerRowDxfId="16" dataDxfId="15" headerRowCellStyle="Currency" dataCellStyle="Currency">
  <autoFilter ref="A1:R701" xr:uid="{00000000-0009-0000-0100-000001000000}"/>
  <tableColumns count="18">
    <tableColumn id="1" xr3:uid="{86858FBE-384F-42D6-AE0E-AF81B56DCF63}" name="Segment"/>
    <tableColumn id="2" xr3:uid="{D2A59375-8C1F-4EC5-A855-E3571E5CF965}" name="Country"/>
    <tableColumn id="16" xr3:uid="{D510BC07-1A7A-4BFF-8A5B-44A45FF39CB6}" name="Product" dataDxfId="14" dataCellStyle="Currency"/>
    <tableColumn id="19" xr3:uid="{685F1293-6E7E-4EEF-BE96-F208201384B3}" name="Discount Band" dataDxfId="13" dataCellStyle="Currency"/>
    <tableColumn id="6" xr3:uid="{70D31EB7-73C5-41B4-A079-169B6503C128}" name="Units Sold"/>
    <tableColumn id="7" xr3:uid="{06D4854A-4635-4F18-AC8D-11D565EF2A67}" name="Manufacturing Price" dataDxfId="12" dataCellStyle="Currency"/>
    <tableColumn id="8" xr3:uid="{C0917178-5FEF-499B-8367-68C6B406F6E9}" name="Sale Price" dataDxfId="11" dataCellStyle="Currency"/>
    <tableColumn id="9" xr3:uid="{9814226C-4E57-4BA1-BBD5-E3444EC55009}" name="Gross Sales" dataDxfId="10" dataCellStyle="Currency"/>
    <tableColumn id="10" xr3:uid="{EFFE50C7-43AB-470F-917E-90BB9FC2B27F}" name="Discounts" dataDxfId="9" dataCellStyle="Currency"/>
    <tableColumn id="11" xr3:uid="{015CB339-8684-429E-917E-26A593A3F07E}" name=" Sales" dataDxfId="8" dataCellStyle="Currency"/>
    <tableColumn id="12" xr3:uid="{2FCF431A-5DAA-4A01-9FBA-7C154E92B59E}" name="COGS" dataDxfId="7" dataCellStyle="Currency"/>
    <tableColumn id="13" xr3:uid="{398763B7-B61E-4F7F-AE3F-C101D640A85B}" name="Profit" dataDxfId="6" dataCellStyle="Currency"/>
    <tableColumn id="4" xr3:uid="{12B11772-8828-405D-AA90-6AAF10EE7613}" name="Date" dataDxfId="5" dataCellStyle="Currency"/>
    <tableColumn id="5" xr3:uid="{AC4F0EAA-72B6-47D1-BAE3-E6E7980FC484}" name="Column1" dataDxfId="4" dataCellStyle="Currency">
      <calculatedColumnFormula>ISNUMBER(financials3[[#This Row],[Date]])</calculatedColumnFormula>
    </tableColumn>
    <tableColumn id="17" xr3:uid="{65920ABB-EAA5-4F3A-988F-CF68A59A5D03}" name="Month Number" dataDxfId="3" dataCellStyle="Currency"/>
    <tableColumn id="18" xr3:uid="{0B7BAAE1-A9E2-4DCD-BE79-F401E8C5CA1E}" name="Month Name" dataDxfId="2" dataCellStyle="Currency"/>
    <tableColumn id="20" xr3:uid="{887BD496-EDB1-4919-AFF8-EB3BF84A8395}" name="Year" dataDxfId="1" dataCellStyle="Currency"/>
    <tableColumn id="3" xr3:uid="{64D7287A-9EB9-46AD-BA8F-A28F452795CE}" name="Duplicate Check" dataDxfId="0" dataCellStyle="Currency">
      <calculatedColumnFormula>COUNTIFS(A:A,A2,B:B,B2,C:C,C2,D:D,D2,E:E,E2,F:F,F2,G:G,G2,H:H,H2,I:I,I2,J:J,J2,K:K,K2,L:L,L2,M:M,M2,N:N,O2,O:O,P2,P:P,Q2)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0E82-851E-4FE9-AE83-66910E67B9AD}">
  <dimension ref="A1:M6"/>
  <sheetViews>
    <sheetView showGridLines="0" tabSelected="1" zoomScale="67" zoomScaleNormal="85" workbookViewId="0">
      <selection activeCell="S29" sqref="S29"/>
    </sheetView>
  </sheetViews>
  <sheetFormatPr defaultRowHeight="14.4" x14ac:dyDescent="0.3"/>
  <sheetData>
    <row r="1" spans="1:13" ht="14.4" customHeight="1" x14ac:dyDescent="0.3">
      <c r="A1" s="54" t="s">
        <v>69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15" thickBot="1" x14ac:dyDescent="0.35"/>
    <row r="4" spans="1:13" x14ac:dyDescent="0.3">
      <c r="A4" s="18" t="s">
        <v>70</v>
      </c>
      <c r="B4" s="19"/>
      <c r="C4" s="20"/>
      <c r="D4" s="27" t="s">
        <v>71</v>
      </c>
      <c r="E4" s="28"/>
      <c r="F4" s="29"/>
      <c r="G4" s="36" t="s">
        <v>72</v>
      </c>
      <c r="H4" s="37"/>
      <c r="I4" s="38"/>
      <c r="J4" s="45" t="s">
        <v>73</v>
      </c>
      <c r="K4" s="46"/>
      <c r="L4" s="47"/>
    </row>
    <row r="5" spans="1:13" x14ac:dyDescent="0.3">
      <c r="A5" s="21"/>
      <c r="B5" s="22"/>
      <c r="C5" s="23"/>
      <c r="D5" s="30"/>
      <c r="E5" s="31"/>
      <c r="F5" s="32"/>
      <c r="G5" s="39"/>
      <c r="H5" s="40"/>
      <c r="I5" s="41"/>
      <c r="J5" s="48"/>
      <c r="K5" s="49"/>
      <c r="L5" s="50"/>
    </row>
    <row r="6" spans="1:13" ht="15" thickBot="1" x14ac:dyDescent="0.35">
      <c r="A6" s="24"/>
      <c r="B6" s="25"/>
      <c r="C6" s="26"/>
      <c r="D6" s="33"/>
      <c r="E6" s="34"/>
      <c r="F6" s="35"/>
      <c r="G6" s="42"/>
      <c r="H6" s="43"/>
      <c r="I6" s="44"/>
      <c r="J6" s="51"/>
      <c r="K6" s="52"/>
      <c r="L6" s="53"/>
    </row>
  </sheetData>
  <mergeCells count="5">
    <mergeCell ref="A4:C6"/>
    <mergeCell ref="D4:F6"/>
    <mergeCell ref="G4:I6"/>
    <mergeCell ref="J4:L6"/>
    <mergeCell ref="A1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opLeftCell="B2" zoomScale="85" zoomScaleNormal="85" workbookViewId="0">
      <selection activeCell="G8" sqref="G8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44140625" style="2" bestFit="1" customWidth="1"/>
    <col min="17" max="17" width="19.21875" bestFit="1" customWidth="1"/>
  </cols>
  <sheetData>
    <row r="1" spans="1:18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6" t="s">
        <v>51</v>
      </c>
      <c r="O1" s="8" t="s">
        <v>13</v>
      </c>
      <c r="P1" s="5" t="s">
        <v>49</v>
      </c>
      <c r="Q1" s="7" t="s">
        <v>0</v>
      </c>
      <c r="R1" s="5" t="s">
        <v>50</v>
      </c>
    </row>
    <row r="2" spans="1:18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6" t="b">
        <f>ISNUMBER(financials[[#This Row],[Date]])</f>
        <v>1</v>
      </c>
      <c r="O2" s="8">
        <v>1</v>
      </c>
      <c r="P2" s="5" t="s">
        <v>76</v>
      </c>
      <c r="Q2" s="7" t="s">
        <v>15</v>
      </c>
      <c r="R2" s="5">
        <f t="shared" ref="R2:R65" si="0">COUNTIFS(A:A,A2,B:B,B2,C:C,C2,D:D,D2,E:E,E2,F:F,F2,G:G,G2,H:H,H2,I:I,I2,J:J,J2,K:K,K2,L:L,L2,M:M,M2,N:N,O2,O:O,P2,P:P,Q2)</f>
        <v>0</v>
      </c>
    </row>
    <row r="3" spans="1:18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6" t="b">
        <f>ISNUMBER(financials[[#This Row],[Date]])</f>
        <v>1</v>
      </c>
      <c r="O3" s="8">
        <v>1</v>
      </c>
      <c r="P3" s="5" t="s">
        <v>76</v>
      </c>
      <c r="Q3" s="7" t="s">
        <v>15</v>
      </c>
      <c r="R3" s="5">
        <f t="shared" si="0"/>
        <v>0</v>
      </c>
    </row>
    <row r="4" spans="1:18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6" t="b">
        <f>ISNUMBER(financials[[#This Row],[Date]])</f>
        <v>1</v>
      </c>
      <c r="O4" s="8">
        <v>6</v>
      </c>
      <c r="P4" s="5" t="s">
        <v>26</v>
      </c>
      <c r="Q4" s="7" t="s">
        <v>15</v>
      </c>
      <c r="R4" s="5">
        <f t="shared" si="0"/>
        <v>0</v>
      </c>
    </row>
    <row r="5" spans="1:18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6" t="b">
        <f>ISNUMBER(financials[[#This Row],[Date]])</f>
        <v>1</v>
      </c>
      <c r="O5" s="8">
        <v>6</v>
      </c>
      <c r="P5" s="5" t="s">
        <v>26</v>
      </c>
      <c r="Q5" s="7" t="s">
        <v>15</v>
      </c>
      <c r="R5" s="5">
        <f t="shared" si="0"/>
        <v>0</v>
      </c>
    </row>
    <row r="6" spans="1:18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6" t="b">
        <f>ISNUMBER(financials[[#This Row],[Date]])</f>
        <v>1</v>
      </c>
      <c r="O6" s="8">
        <v>6</v>
      </c>
      <c r="P6" s="5" t="s">
        <v>26</v>
      </c>
      <c r="Q6" s="7" t="s">
        <v>15</v>
      </c>
      <c r="R6" s="5">
        <f t="shared" si="0"/>
        <v>0</v>
      </c>
    </row>
    <row r="7" spans="1:18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6" t="b">
        <f>ISNUMBER(financials[[#This Row],[Date]])</f>
        <v>1</v>
      </c>
      <c r="O7" s="8">
        <v>12</v>
      </c>
      <c r="P7" s="5" t="s">
        <v>81</v>
      </c>
      <c r="Q7" s="7" t="s">
        <v>15</v>
      </c>
      <c r="R7" s="5">
        <f t="shared" si="0"/>
        <v>0</v>
      </c>
    </row>
    <row r="8" spans="1:18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6" t="b">
        <f>ISNUMBER(financials[[#This Row],[Date]])</f>
        <v>1</v>
      </c>
      <c r="O8" s="8">
        <v>3</v>
      </c>
      <c r="P8" s="5" t="s">
        <v>82</v>
      </c>
      <c r="Q8" s="7" t="s">
        <v>15</v>
      </c>
      <c r="R8" s="5">
        <f t="shared" si="0"/>
        <v>0</v>
      </c>
    </row>
    <row r="9" spans="1:18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6" t="b">
        <f>ISNUMBER(financials[[#This Row],[Date]])</f>
        <v>1</v>
      </c>
      <c r="O9" s="8">
        <v>6</v>
      </c>
      <c r="P9" s="5" t="s">
        <v>26</v>
      </c>
      <c r="Q9" s="7" t="s">
        <v>15</v>
      </c>
      <c r="R9" s="5">
        <f t="shared" si="0"/>
        <v>0</v>
      </c>
    </row>
    <row r="10" spans="1:18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6" t="b">
        <f>ISNUMBER(financials[[#This Row],[Date]])</f>
        <v>1</v>
      </c>
      <c r="O10" s="8">
        <v>6</v>
      </c>
      <c r="P10" s="5" t="s">
        <v>26</v>
      </c>
      <c r="Q10" s="7" t="s">
        <v>15</v>
      </c>
      <c r="R10" s="5">
        <f t="shared" si="0"/>
        <v>0</v>
      </c>
    </row>
    <row r="11" spans="1:18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6" t="b">
        <f>ISNUMBER(financials[[#This Row],[Date]])</f>
        <v>1</v>
      </c>
      <c r="O11" s="8">
        <v>6</v>
      </c>
      <c r="P11" s="5" t="s">
        <v>26</v>
      </c>
      <c r="Q11" s="7" t="s">
        <v>15</v>
      </c>
      <c r="R11" s="5">
        <f t="shared" si="0"/>
        <v>0</v>
      </c>
    </row>
    <row r="12" spans="1:18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6" t="b">
        <f>ISNUMBER(financials[[#This Row],[Date]])</f>
        <v>1</v>
      </c>
      <c r="O12" s="8">
        <v>6</v>
      </c>
      <c r="P12" s="5" t="s">
        <v>26</v>
      </c>
      <c r="Q12" s="7" t="s">
        <v>15</v>
      </c>
      <c r="R12" s="5">
        <f t="shared" si="0"/>
        <v>0</v>
      </c>
    </row>
    <row r="13" spans="1:18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6" t="b">
        <f>ISNUMBER(financials[[#This Row],[Date]])</f>
        <v>1</v>
      </c>
      <c r="O13" s="8">
        <v>7</v>
      </c>
      <c r="P13" s="5" t="s">
        <v>27</v>
      </c>
      <c r="Q13" s="7" t="s">
        <v>15</v>
      </c>
      <c r="R13" s="5">
        <f t="shared" si="0"/>
        <v>0</v>
      </c>
    </row>
    <row r="14" spans="1:18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6" t="b">
        <f>ISNUMBER(financials[[#This Row],[Date]])</f>
        <v>1</v>
      </c>
      <c r="O14" s="8">
        <v>8</v>
      </c>
      <c r="P14" s="5" t="s">
        <v>77</v>
      </c>
      <c r="Q14" s="7" t="s">
        <v>15</v>
      </c>
      <c r="R14" s="5">
        <f t="shared" si="0"/>
        <v>0</v>
      </c>
    </row>
    <row r="15" spans="1:18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6" t="b">
        <f>ISNUMBER(financials[[#This Row],[Date]])</f>
        <v>1</v>
      </c>
      <c r="O15" s="8">
        <v>9</v>
      </c>
      <c r="P15" s="5" t="s">
        <v>78</v>
      </c>
      <c r="Q15" s="7" t="s">
        <v>15</v>
      </c>
      <c r="R15" s="5">
        <f t="shared" si="0"/>
        <v>0</v>
      </c>
    </row>
    <row r="16" spans="1:18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6" t="b">
        <f>ISNUMBER(financials[[#This Row],[Date]])</f>
        <v>1</v>
      </c>
      <c r="O16" s="8">
        <v>10</v>
      </c>
      <c r="P16" s="5" t="s">
        <v>79</v>
      </c>
      <c r="Q16" s="7" t="s">
        <v>14</v>
      </c>
      <c r="R16" s="5">
        <f t="shared" si="0"/>
        <v>0</v>
      </c>
    </row>
    <row r="17" spans="1:18" x14ac:dyDescent="0.3">
      <c r="A17" t="s">
        <v>8</v>
      </c>
      <c r="B17" t="s">
        <v>74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6" t="b">
        <f>ISNUMBER(financials[[#This Row],[Date]])</f>
        <v>1</v>
      </c>
      <c r="O17" s="8">
        <v>12</v>
      </c>
      <c r="P17" s="5" t="s">
        <v>81</v>
      </c>
      <c r="Q17" s="7" t="s">
        <v>15</v>
      </c>
      <c r="R17" s="5">
        <f t="shared" si="0"/>
        <v>0</v>
      </c>
    </row>
    <row r="18" spans="1:18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6" t="b">
        <f>ISNUMBER(financials[[#This Row],[Date]])</f>
        <v>1</v>
      </c>
      <c r="O18" s="8">
        <v>2</v>
      </c>
      <c r="P18" s="5" t="s">
        <v>75</v>
      </c>
      <c r="Q18" s="7" t="s">
        <v>15</v>
      </c>
      <c r="R18" s="5">
        <f t="shared" si="0"/>
        <v>0</v>
      </c>
    </row>
    <row r="19" spans="1:18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6" t="b">
        <f>ISNUMBER(financials[[#This Row],[Date]])</f>
        <v>1</v>
      </c>
      <c r="O19" s="8">
        <v>2</v>
      </c>
      <c r="P19" s="5" t="s">
        <v>75</v>
      </c>
      <c r="Q19" s="7" t="s">
        <v>15</v>
      </c>
      <c r="R19" s="5">
        <f t="shared" si="0"/>
        <v>0</v>
      </c>
    </row>
    <row r="20" spans="1:18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6" t="b">
        <f>ISNUMBER(financials[[#This Row],[Date]])</f>
        <v>1</v>
      </c>
      <c r="O20" s="8">
        <v>6</v>
      </c>
      <c r="P20" s="5" t="s">
        <v>26</v>
      </c>
      <c r="Q20" s="7" t="s">
        <v>15</v>
      </c>
      <c r="R20" s="5">
        <f t="shared" si="0"/>
        <v>0</v>
      </c>
    </row>
    <row r="21" spans="1:18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6" t="b">
        <f>ISNUMBER(financials[[#This Row],[Date]])</f>
        <v>1</v>
      </c>
      <c r="O21" s="8">
        <v>6</v>
      </c>
      <c r="P21" s="5" t="s">
        <v>26</v>
      </c>
      <c r="Q21" s="7" t="s">
        <v>15</v>
      </c>
      <c r="R21" s="5">
        <f t="shared" si="0"/>
        <v>0</v>
      </c>
    </row>
    <row r="22" spans="1:18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6" t="b">
        <f>ISNUMBER(financials[[#This Row],[Date]])</f>
        <v>1</v>
      </c>
      <c r="O22" s="8">
        <v>7</v>
      </c>
      <c r="P22" s="5" t="s">
        <v>27</v>
      </c>
      <c r="Q22" s="7" t="s">
        <v>15</v>
      </c>
      <c r="R22" s="5">
        <f t="shared" si="0"/>
        <v>0</v>
      </c>
    </row>
    <row r="23" spans="1:18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6" t="b">
        <f>ISNUMBER(financials[[#This Row],[Date]])</f>
        <v>1</v>
      </c>
      <c r="O23" s="8">
        <v>8</v>
      </c>
      <c r="P23" s="5" t="s">
        <v>77</v>
      </c>
      <c r="Q23" s="7" t="s">
        <v>15</v>
      </c>
      <c r="R23" s="5">
        <f t="shared" si="0"/>
        <v>0</v>
      </c>
    </row>
    <row r="24" spans="1:18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6" t="b">
        <f>ISNUMBER(financials[[#This Row],[Date]])</f>
        <v>1</v>
      </c>
      <c r="O24" s="8">
        <v>9</v>
      </c>
      <c r="P24" s="5" t="s">
        <v>78</v>
      </c>
      <c r="Q24" s="7" t="s">
        <v>14</v>
      </c>
      <c r="R24" s="5">
        <f t="shared" si="0"/>
        <v>0</v>
      </c>
    </row>
    <row r="25" spans="1:18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6" t="b">
        <f>ISNUMBER(financials[[#This Row],[Date]])</f>
        <v>1</v>
      </c>
      <c r="O25" s="8">
        <v>9</v>
      </c>
      <c r="P25" s="5" t="s">
        <v>78</v>
      </c>
      <c r="Q25" s="7" t="s">
        <v>14</v>
      </c>
      <c r="R25" s="5">
        <f t="shared" si="0"/>
        <v>0</v>
      </c>
    </row>
    <row r="26" spans="1:18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6" t="b">
        <f>ISNUMBER(financials[[#This Row],[Date]])</f>
        <v>1</v>
      </c>
      <c r="O26" s="8">
        <v>9</v>
      </c>
      <c r="P26" s="5" t="s">
        <v>78</v>
      </c>
      <c r="Q26" s="7" t="s">
        <v>15</v>
      </c>
      <c r="R26" s="5">
        <f t="shared" si="0"/>
        <v>0</v>
      </c>
    </row>
    <row r="27" spans="1:18" x14ac:dyDescent="0.3">
      <c r="A27" t="s">
        <v>10</v>
      </c>
      <c r="B27" t="s">
        <v>74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6" t="b">
        <f>ISNUMBER(financials[[#This Row],[Date]])</f>
        <v>1</v>
      </c>
      <c r="O27" s="8">
        <v>10</v>
      </c>
      <c r="P27" s="5" t="s">
        <v>79</v>
      </c>
      <c r="Q27" s="7" t="s">
        <v>15</v>
      </c>
      <c r="R27" s="5">
        <f t="shared" si="0"/>
        <v>0</v>
      </c>
    </row>
    <row r="28" spans="1:18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6" t="b">
        <f>ISNUMBER(financials[[#This Row],[Date]])</f>
        <v>1</v>
      </c>
      <c r="O28" s="8">
        <v>11</v>
      </c>
      <c r="P28" s="5" t="s">
        <v>80</v>
      </c>
      <c r="Q28" s="7" t="s">
        <v>14</v>
      </c>
      <c r="R28" s="5">
        <f t="shared" si="0"/>
        <v>0</v>
      </c>
    </row>
    <row r="29" spans="1:18" x14ac:dyDescent="0.3">
      <c r="A29" t="s">
        <v>11</v>
      </c>
      <c r="B29" t="s">
        <v>74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6" t="b">
        <f>ISNUMBER(financials[[#This Row],[Date]])</f>
        <v>1</v>
      </c>
      <c r="O29" s="8">
        <v>11</v>
      </c>
      <c r="P29" s="5" t="s">
        <v>80</v>
      </c>
      <c r="Q29" s="7" t="s">
        <v>14</v>
      </c>
      <c r="R29" s="5">
        <f t="shared" si="0"/>
        <v>0</v>
      </c>
    </row>
    <row r="30" spans="1:18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6" t="b">
        <f>ISNUMBER(financials[[#This Row],[Date]])</f>
        <v>1</v>
      </c>
      <c r="O30" s="8">
        <v>12</v>
      </c>
      <c r="P30" s="5" t="s">
        <v>81</v>
      </c>
      <c r="Q30" s="7" t="s">
        <v>14</v>
      </c>
      <c r="R30" s="5">
        <f t="shared" si="0"/>
        <v>0</v>
      </c>
    </row>
    <row r="31" spans="1:18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6" t="b">
        <f>ISNUMBER(financials[[#This Row],[Date]])</f>
        <v>1</v>
      </c>
      <c r="O31" s="8">
        <v>12</v>
      </c>
      <c r="P31" s="5" t="s">
        <v>81</v>
      </c>
      <c r="Q31" s="7" t="s">
        <v>15</v>
      </c>
      <c r="R31" s="5">
        <f t="shared" si="0"/>
        <v>0</v>
      </c>
    </row>
    <row r="32" spans="1:18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6" t="b">
        <f>ISNUMBER(financials[[#This Row],[Date]])</f>
        <v>1</v>
      </c>
      <c r="O32" s="8">
        <v>12</v>
      </c>
      <c r="P32" s="5" t="s">
        <v>81</v>
      </c>
      <c r="Q32" s="7" t="s">
        <v>15</v>
      </c>
      <c r="R32" s="5">
        <f t="shared" si="0"/>
        <v>0</v>
      </c>
    </row>
    <row r="33" spans="1:18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6" t="b">
        <f>ISNUMBER(financials[[#This Row],[Date]])</f>
        <v>1</v>
      </c>
      <c r="O33" s="8">
        <v>1</v>
      </c>
      <c r="P33" s="5" t="s">
        <v>76</v>
      </c>
      <c r="Q33" s="7" t="s">
        <v>15</v>
      </c>
      <c r="R33" s="5">
        <f t="shared" si="0"/>
        <v>0</v>
      </c>
    </row>
    <row r="34" spans="1:18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6" t="b">
        <f>ISNUMBER(financials[[#This Row],[Date]])</f>
        <v>1</v>
      </c>
      <c r="O34" s="8">
        <v>2</v>
      </c>
      <c r="P34" s="5" t="s">
        <v>75</v>
      </c>
      <c r="Q34" s="7" t="s">
        <v>15</v>
      </c>
      <c r="R34" s="5">
        <f t="shared" si="0"/>
        <v>0</v>
      </c>
    </row>
    <row r="35" spans="1:18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6" t="b">
        <f>ISNUMBER(financials[[#This Row],[Date]])</f>
        <v>1</v>
      </c>
      <c r="O35" s="8">
        <v>3</v>
      </c>
      <c r="P35" s="5" t="s">
        <v>82</v>
      </c>
      <c r="Q35" s="7" t="s">
        <v>15</v>
      </c>
      <c r="R35" s="5">
        <f t="shared" si="0"/>
        <v>0</v>
      </c>
    </row>
    <row r="36" spans="1:18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6" t="b">
        <f>ISNUMBER(financials[[#This Row],[Date]])</f>
        <v>1</v>
      </c>
      <c r="O36" s="8">
        <v>6</v>
      </c>
      <c r="P36" s="5" t="s">
        <v>26</v>
      </c>
      <c r="Q36" s="7" t="s">
        <v>15</v>
      </c>
      <c r="R36" s="5">
        <f t="shared" si="0"/>
        <v>0</v>
      </c>
    </row>
    <row r="37" spans="1:18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6" t="b">
        <f>ISNUMBER(financials[[#This Row],[Date]])</f>
        <v>1</v>
      </c>
      <c r="O37" s="8">
        <v>6</v>
      </c>
      <c r="P37" s="5" t="s">
        <v>26</v>
      </c>
      <c r="Q37" s="7" t="s">
        <v>15</v>
      </c>
      <c r="R37" s="5">
        <f t="shared" si="0"/>
        <v>0</v>
      </c>
    </row>
    <row r="38" spans="1:18" x14ac:dyDescent="0.3">
      <c r="A38" t="s">
        <v>9</v>
      </c>
      <c r="B38" t="s">
        <v>74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6" t="b">
        <f>ISNUMBER(financials[[#This Row],[Date]])</f>
        <v>1</v>
      </c>
      <c r="O38" s="8">
        <v>8</v>
      </c>
      <c r="P38" s="5" t="s">
        <v>77</v>
      </c>
      <c r="Q38" s="7" t="s">
        <v>15</v>
      </c>
      <c r="R38" s="5">
        <f t="shared" si="0"/>
        <v>0</v>
      </c>
    </row>
    <row r="39" spans="1:18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6" t="b">
        <f>ISNUMBER(financials[[#This Row],[Date]])</f>
        <v>1</v>
      </c>
      <c r="O39" s="8">
        <v>10</v>
      </c>
      <c r="P39" s="5" t="s">
        <v>79</v>
      </c>
      <c r="Q39" s="7" t="s">
        <v>14</v>
      </c>
      <c r="R39" s="5">
        <f t="shared" si="0"/>
        <v>0</v>
      </c>
    </row>
    <row r="40" spans="1:18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6" t="b">
        <f>ISNUMBER(financials[[#This Row],[Date]])</f>
        <v>1</v>
      </c>
      <c r="O40" s="8">
        <v>2</v>
      </c>
      <c r="P40" s="5" t="s">
        <v>75</v>
      </c>
      <c r="Q40" s="7" t="s">
        <v>15</v>
      </c>
      <c r="R40" s="5">
        <f t="shared" si="0"/>
        <v>0</v>
      </c>
    </row>
    <row r="41" spans="1:18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6" t="b">
        <f>ISNUMBER(financials[[#This Row],[Date]])</f>
        <v>1</v>
      </c>
      <c r="O41" s="8">
        <v>4</v>
      </c>
      <c r="P41" s="5" t="s">
        <v>24</v>
      </c>
      <c r="Q41" s="7" t="s">
        <v>15</v>
      </c>
      <c r="R41" s="5">
        <f t="shared" si="0"/>
        <v>0</v>
      </c>
    </row>
    <row r="42" spans="1:18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6" t="b">
        <f>ISNUMBER(financials[[#This Row],[Date]])</f>
        <v>1</v>
      </c>
      <c r="O42" s="8">
        <v>6</v>
      </c>
      <c r="P42" s="5" t="s">
        <v>26</v>
      </c>
      <c r="Q42" s="7" t="s">
        <v>15</v>
      </c>
      <c r="R42" s="5">
        <f t="shared" si="0"/>
        <v>0</v>
      </c>
    </row>
    <row r="43" spans="1:18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6" t="b">
        <f>ISNUMBER(financials[[#This Row],[Date]])</f>
        <v>1</v>
      </c>
      <c r="O43" s="8">
        <v>6</v>
      </c>
      <c r="P43" s="5" t="s">
        <v>26</v>
      </c>
      <c r="Q43" s="7" t="s">
        <v>15</v>
      </c>
      <c r="R43" s="5">
        <f t="shared" si="0"/>
        <v>0</v>
      </c>
    </row>
    <row r="44" spans="1:18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6" t="b">
        <f>ISNUMBER(financials[[#This Row],[Date]])</f>
        <v>1</v>
      </c>
      <c r="O44" s="8">
        <v>9</v>
      </c>
      <c r="P44" s="5" t="s">
        <v>78</v>
      </c>
      <c r="Q44" s="7" t="s">
        <v>14</v>
      </c>
      <c r="R44" s="5">
        <f t="shared" si="0"/>
        <v>0</v>
      </c>
    </row>
    <row r="45" spans="1:18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6" t="b">
        <f>ISNUMBER(financials[[#This Row],[Date]])</f>
        <v>1</v>
      </c>
      <c r="O45" s="8">
        <v>9</v>
      </c>
      <c r="P45" s="5" t="s">
        <v>78</v>
      </c>
      <c r="Q45" s="7" t="s">
        <v>15</v>
      </c>
      <c r="R45" s="5">
        <f t="shared" si="0"/>
        <v>0</v>
      </c>
    </row>
    <row r="46" spans="1:18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6" t="b">
        <f>ISNUMBER(financials[[#This Row],[Date]])</f>
        <v>1</v>
      </c>
      <c r="O46" s="8">
        <v>12</v>
      </c>
      <c r="P46" s="5" t="s">
        <v>81</v>
      </c>
      <c r="Q46" s="7" t="s">
        <v>15</v>
      </c>
      <c r="R46" s="5">
        <f t="shared" si="0"/>
        <v>0</v>
      </c>
    </row>
    <row r="47" spans="1:18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6" t="b">
        <f>ISNUMBER(financials[[#This Row],[Date]])</f>
        <v>1</v>
      </c>
      <c r="O47" s="8">
        <v>2</v>
      </c>
      <c r="P47" s="5" t="s">
        <v>75</v>
      </c>
      <c r="Q47" s="7" t="s">
        <v>15</v>
      </c>
      <c r="R47" s="5">
        <f t="shared" si="0"/>
        <v>0</v>
      </c>
    </row>
    <row r="48" spans="1:18" x14ac:dyDescent="0.3">
      <c r="A48" t="s">
        <v>11</v>
      </c>
      <c r="B48" t="s">
        <v>74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6" t="b">
        <f>ISNUMBER(financials[[#This Row],[Date]])</f>
        <v>1</v>
      </c>
      <c r="O48" s="8">
        <v>4</v>
      </c>
      <c r="P48" s="5" t="s">
        <v>24</v>
      </c>
      <c r="Q48" s="7" t="s">
        <v>15</v>
      </c>
      <c r="R48" s="5">
        <f t="shared" si="0"/>
        <v>0</v>
      </c>
    </row>
    <row r="49" spans="1:18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6" t="b">
        <f>ISNUMBER(financials[[#This Row],[Date]])</f>
        <v>1</v>
      </c>
      <c r="O49" s="8">
        <v>4</v>
      </c>
      <c r="P49" s="5" t="s">
        <v>24</v>
      </c>
      <c r="Q49" s="7" t="s">
        <v>15</v>
      </c>
      <c r="R49" s="5">
        <f t="shared" si="0"/>
        <v>0</v>
      </c>
    </row>
    <row r="50" spans="1:18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6" t="b">
        <f>ISNUMBER(financials[[#This Row],[Date]])</f>
        <v>1</v>
      </c>
      <c r="O50" s="8">
        <v>6</v>
      </c>
      <c r="P50" s="5" t="s">
        <v>26</v>
      </c>
      <c r="Q50" s="7" t="s">
        <v>15</v>
      </c>
      <c r="R50" s="5">
        <f t="shared" si="0"/>
        <v>0</v>
      </c>
    </row>
    <row r="51" spans="1:18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6" t="b">
        <f>ISNUMBER(financials[[#This Row],[Date]])</f>
        <v>1</v>
      </c>
      <c r="O51" s="8">
        <v>7</v>
      </c>
      <c r="P51" s="5" t="s">
        <v>27</v>
      </c>
      <c r="Q51" s="7" t="s">
        <v>15</v>
      </c>
      <c r="R51" s="5">
        <f t="shared" si="0"/>
        <v>0</v>
      </c>
    </row>
    <row r="52" spans="1:18" x14ac:dyDescent="0.3">
      <c r="A52" t="s">
        <v>11</v>
      </c>
      <c r="B52" t="s">
        <v>74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6" t="b">
        <f>ISNUMBER(financials[[#This Row],[Date]])</f>
        <v>1</v>
      </c>
      <c r="O52" s="8">
        <v>8</v>
      </c>
      <c r="P52" s="5" t="s">
        <v>77</v>
      </c>
      <c r="Q52" s="7" t="s">
        <v>15</v>
      </c>
      <c r="R52" s="5">
        <f t="shared" si="0"/>
        <v>0</v>
      </c>
    </row>
    <row r="53" spans="1:18" x14ac:dyDescent="0.3">
      <c r="A53" t="s">
        <v>10</v>
      </c>
      <c r="B53" t="s">
        <v>74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6" t="b">
        <f>ISNUMBER(financials[[#This Row],[Date]])</f>
        <v>1</v>
      </c>
      <c r="O53" s="8">
        <v>10</v>
      </c>
      <c r="P53" s="5" t="s">
        <v>79</v>
      </c>
      <c r="Q53" s="7" t="s">
        <v>15</v>
      </c>
      <c r="R53" s="5">
        <f t="shared" si="0"/>
        <v>0</v>
      </c>
    </row>
    <row r="54" spans="1:18" x14ac:dyDescent="0.3">
      <c r="A54" t="s">
        <v>8</v>
      </c>
      <c r="B54" t="s">
        <v>74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6" t="b">
        <f>ISNUMBER(financials[[#This Row],[Date]])</f>
        <v>1</v>
      </c>
      <c r="O54" s="8">
        <v>12</v>
      </c>
      <c r="P54" s="5" t="s">
        <v>81</v>
      </c>
      <c r="Q54" s="7" t="s">
        <v>15</v>
      </c>
      <c r="R54" s="5">
        <f t="shared" si="0"/>
        <v>0</v>
      </c>
    </row>
    <row r="55" spans="1:18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6" t="b">
        <f>ISNUMBER(financials[[#This Row],[Date]])</f>
        <v>1</v>
      </c>
      <c r="O55" s="8">
        <v>1</v>
      </c>
      <c r="P55" s="5" t="s">
        <v>76</v>
      </c>
      <c r="Q55" s="7" t="s">
        <v>15</v>
      </c>
      <c r="R55" s="5">
        <f t="shared" si="0"/>
        <v>0</v>
      </c>
    </row>
    <row r="56" spans="1:18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6" t="b">
        <f>ISNUMBER(financials[[#This Row],[Date]])</f>
        <v>1</v>
      </c>
      <c r="O56" s="8">
        <v>2</v>
      </c>
      <c r="P56" s="5" t="s">
        <v>75</v>
      </c>
      <c r="Q56" s="7" t="s">
        <v>15</v>
      </c>
      <c r="R56" s="5">
        <f t="shared" si="0"/>
        <v>0</v>
      </c>
    </row>
    <row r="57" spans="1:18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6" t="b">
        <f>ISNUMBER(financials[[#This Row],[Date]])</f>
        <v>1</v>
      </c>
      <c r="O57" s="8">
        <v>5</v>
      </c>
      <c r="P57" s="5" t="s">
        <v>25</v>
      </c>
      <c r="Q57" s="7" t="s">
        <v>15</v>
      </c>
      <c r="R57" s="5">
        <f t="shared" si="0"/>
        <v>0</v>
      </c>
    </row>
    <row r="58" spans="1:18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6" t="b">
        <f>ISNUMBER(financials[[#This Row],[Date]])</f>
        <v>1</v>
      </c>
      <c r="O58" s="8">
        <v>11</v>
      </c>
      <c r="P58" s="5" t="s">
        <v>80</v>
      </c>
      <c r="Q58" s="7" t="s">
        <v>15</v>
      </c>
      <c r="R58" s="5">
        <f t="shared" si="0"/>
        <v>0</v>
      </c>
    </row>
    <row r="59" spans="1:18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6" t="b">
        <f>ISNUMBER(financials[[#This Row],[Date]])</f>
        <v>1</v>
      </c>
      <c r="O59" s="8">
        <v>3</v>
      </c>
      <c r="P59" s="5" t="s">
        <v>82</v>
      </c>
      <c r="Q59" s="7" t="s">
        <v>15</v>
      </c>
      <c r="R59" s="5">
        <f t="shared" si="0"/>
        <v>0</v>
      </c>
    </row>
    <row r="60" spans="1:18" x14ac:dyDescent="0.3">
      <c r="A60" t="s">
        <v>11</v>
      </c>
      <c r="B60" t="s">
        <v>74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6" t="b">
        <f>ISNUMBER(financials[[#This Row],[Date]])</f>
        <v>1</v>
      </c>
      <c r="O60" s="8">
        <v>2</v>
      </c>
      <c r="P60" s="5" t="s">
        <v>75</v>
      </c>
      <c r="Q60" s="7" t="s">
        <v>15</v>
      </c>
      <c r="R60" s="5">
        <f t="shared" si="0"/>
        <v>0</v>
      </c>
    </row>
    <row r="61" spans="1:18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6" t="b">
        <f>ISNUMBER(financials[[#This Row],[Date]])</f>
        <v>1</v>
      </c>
      <c r="O61" s="8">
        <v>3</v>
      </c>
      <c r="P61" s="5" t="s">
        <v>82</v>
      </c>
      <c r="Q61" s="7" t="s">
        <v>15</v>
      </c>
      <c r="R61" s="5">
        <f t="shared" si="0"/>
        <v>0</v>
      </c>
    </row>
    <row r="62" spans="1:18" x14ac:dyDescent="0.3">
      <c r="A62" t="s">
        <v>10</v>
      </c>
      <c r="B62" t="s">
        <v>74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6" t="b">
        <f>ISNUMBER(financials[[#This Row],[Date]])</f>
        <v>1</v>
      </c>
      <c r="O62" s="8">
        <v>7</v>
      </c>
      <c r="P62" s="5" t="s">
        <v>27</v>
      </c>
      <c r="Q62" s="7" t="s">
        <v>15</v>
      </c>
      <c r="R62" s="5">
        <f t="shared" si="0"/>
        <v>0</v>
      </c>
    </row>
    <row r="63" spans="1:18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6" t="b">
        <f>ISNUMBER(financials[[#This Row],[Date]])</f>
        <v>1</v>
      </c>
      <c r="O63" s="8">
        <v>9</v>
      </c>
      <c r="P63" s="5" t="s">
        <v>78</v>
      </c>
      <c r="Q63" s="7" t="s">
        <v>15</v>
      </c>
      <c r="R63" s="5">
        <f t="shared" si="0"/>
        <v>0</v>
      </c>
    </row>
    <row r="64" spans="1:18" x14ac:dyDescent="0.3">
      <c r="A64" t="s">
        <v>9</v>
      </c>
      <c r="B64" t="s">
        <v>74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6" t="b">
        <f>ISNUMBER(financials[[#This Row],[Date]])</f>
        <v>1</v>
      </c>
      <c r="O64" s="8">
        <v>9</v>
      </c>
      <c r="P64" s="5" t="s">
        <v>78</v>
      </c>
      <c r="Q64" s="7" t="s">
        <v>14</v>
      </c>
      <c r="R64" s="5">
        <f t="shared" si="0"/>
        <v>0</v>
      </c>
    </row>
    <row r="65" spans="1:18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6" t="b">
        <f>ISNUMBER(financials[[#This Row],[Date]])</f>
        <v>1</v>
      </c>
      <c r="O65" s="8">
        <v>9</v>
      </c>
      <c r="P65" s="5" t="s">
        <v>78</v>
      </c>
      <c r="Q65" s="7" t="s">
        <v>15</v>
      </c>
      <c r="R65" s="5">
        <f t="shared" si="0"/>
        <v>0</v>
      </c>
    </row>
    <row r="66" spans="1:18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6" t="b">
        <f>ISNUMBER(financials[[#This Row],[Date]])</f>
        <v>1</v>
      </c>
      <c r="O66" s="8">
        <v>10</v>
      </c>
      <c r="P66" s="5" t="s">
        <v>79</v>
      </c>
      <c r="Q66" s="7" t="s">
        <v>14</v>
      </c>
      <c r="R66" s="5">
        <f t="shared" ref="R66:R129" si="1">COUNTIFS(A:A,A66,B:B,B66,C:C,C66,D:D,D66,E:E,E66,F:F,F66,G:G,G66,H:H,H66,I:I,I66,J:J,J66,K:K,K66,L:L,L66,M:M,M66,N:N,O66,O:O,P66,P:P,Q66)</f>
        <v>0</v>
      </c>
    </row>
    <row r="67" spans="1:18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6" t="b">
        <f>ISNUMBER(financials[[#This Row],[Date]])</f>
        <v>1</v>
      </c>
      <c r="O67" s="8">
        <v>10</v>
      </c>
      <c r="P67" s="5" t="s">
        <v>79</v>
      </c>
      <c r="Q67" s="7" t="s">
        <v>14</v>
      </c>
      <c r="R67" s="5">
        <f t="shared" si="1"/>
        <v>0</v>
      </c>
    </row>
    <row r="68" spans="1:18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6" t="b">
        <f>ISNUMBER(financials[[#This Row],[Date]])</f>
        <v>1</v>
      </c>
      <c r="O68" s="8">
        <v>10</v>
      </c>
      <c r="P68" s="5" t="s">
        <v>79</v>
      </c>
      <c r="Q68" s="7" t="s">
        <v>15</v>
      </c>
      <c r="R68" s="5">
        <f t="shared" si="1"/>
        <v>0</v>
      </c>
    </row>
    <row r="69" spans="1:18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6" t="b">
        <f>ISNUMBER(financials[[#This Row],[Date]])</f>
        <v>1</v>
      </c>
      <c r="O69" s="8">
        <v>12</v>
      </c>
      <c r="P69" s="5" t="s">
        <v>81</v>
      </c>
      <c r="Q69" s="7" t="s">
        <v>15</v>
      </c>
      <c r="R69" s="5">
        <f t="shared" si="1"/>
        <v>0</v>
      </c>
    </row>
    <row r="70" spans="1:18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6" t="b">
        <f>ISNUMBER(financials[[#This Row],[Date]])</f>
        <v>1</v>
      </c>
      <c r="O70" s="8">
        <v>3</v>
      </c>
      <c r="P70" s="5" t="s">
        <v>82</v>
      </c>
      <c r="Q70" s="7" t="s">
        <v>15</v>
      </c>
      <c r="R70" s="5">
        <f t="shared" si="1"/>
        <v>0</v>
      </c>
    </row>
    <row r="71" spans="1:18" x14ac:dyDescent="0.3">
      <c r="A71" t="s">
        <v>7</v>
      </c>
      <c r="B71" t="s">
        <v>74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6" t="b">
        <f>ISNUMBER(financials[[#This Row],[Date]])</f>
        <v>1</v>
      </c>
      <c r="O71" s="8">
        <v>4</v>
      </c>
      <c r="P71" s="5" t="s">
        <v>24</v>
      </c>
      <c r="Q71" s="7" t="s">
        <v>15</v>
      </c>
      <c r="R71" s="5">
        <f t="shared" si="1"/>
        <v>0</v>
      </c>
    </row>
    <row r="72" spans="1:18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6" t="b">
        <f>ISNUMBER(financials[[#This Row],[Date]])</f>
        <v>1</v>
      </c>
      <c r="O72" s="8">
        <v>7</v>
      </c>
      <c r="P72" s="5" t="s">
        <v>27</v>
      </c>
      <c r="Q72" s="7" t="s">
        <v>15</v>
      </c>
      <c r="R72" s="5">
        <f t="shared" si="1"/>
        <v>0</v>
      </c>
    </row>
    <row r="73" spans="1:18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6" t="b">
        <f>ISNUMBER(financials[[#This Row],[Date]])</f>
        <v>1</v>
      </c>
      <c r="O73" s="8">
        <v>8</v>
      </c>
      <c r="P73" s="5" t="s">
        <v>77</v>
      </c>
      <c r="Q73" s="7" t="s">
        <v>15</v>
      </c>
      <c r="R73" s="5">
        <f t="shared" si="1"/>
        <v>0</v>
      </c>
    </row>
    <row r="74" spans="1:18" x14ac:dyDescent="0.3">
      <c r="A74" t="s">
        <v>7</v>
      </c>
      <c r="B74" t="s">
        <v>74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6" t="b">
        <f>ISNUMBER(financials[[#This Row],[Date]])</f>
        <v>1</v>
      </c>
      <c r="O74" s="8">
        <v>9</v>
      </c>
      <c r="P74" s="5" t="s">
        <v>78</v>
      </c>
      <c r="Q74" s="7" t="s">
        <v>14</v>
      </c>
      <c r="R74" s="5">
        <f t="shared" si="1"/>
        <v>0</v>
      </c>
    </row>
    <row r="75" spans="1:18" x14ac:dyDescent="0.3">
      <c r="A75" t="s">
        <v>9</v>
      </c>
      <c r="B75" t="s">
        <v>74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6" t="b">
        <f>ISNUMBER(financials[[#This Row],[Date]])</f>
        <v>1</v>
      </c>
      <c r="O75" s="8">
        <v>10</v>
      </c>
      <c r="P75" s="5" t="s">
        <v>79</v>
      </c>
      <c r="Q75" s="7" t="s">
        <v>14</v>
      </c>
      <c r="R75" s="5">
        <f t="shared" si="1"/>
        <v>0</v>
      </c>
    </row>
    <row r="76" spans="1:18" x14ac:dyDescent="0.3">
      <c r="A76" t="s">
        <v>8</v>
      </c>
      <c r="B76" t="s">
        <v>74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6" t="b">
        <f>ISNUMBER(financials[[#This Row],[Date]])</f>
        <v>1</v>
      </c>
      <c r="O76" s="8">
        <v>2</v>
      </c>
      <c r="P76" s="5" t="s">
        <v>75</v>
      </c>
      <c r="Q76" s="7" t="s">
        <v>15</v>
      </c>
      <c r="R76" s="5">
        <f t="shared" si="1"/>
        <v>0</v>
      </c>
    </row>
    <row r="77" spans="1:18" x14ac:dyDescent="0.3">
      <c r="A77" t="s">
        <v>10</v>
      </c>
      <c r="B77" t="s">
        <v>74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6" t="b">
        <f>ISNUMBER(financials[[#This Row],[Date]])</f>
        <v>1</v>
      </c>
      <c r="O77" s="8">
        <v>4</v>
      </c>
      <c r="P77" s="5" t="s">
        <v>24</v>
      </c>
      <c r="Q77" s="7" t="s">
        <v>15</v>
      </c>
      <c r="R77" s="5">
        <f t="shared" si="1"/>
        <v>0</v>
      </c>
    </row>
    <row r="78" spans="1:18" x14ac:dyDescent="0.3">
      <c r="A78" t="s">
        <v>9</v>
      </c>
      <c r="B78" t="s">
        <v>74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6" t="b">
        <f>ISNUMBER(financials[[#This Row],[Date]])</f>
        <v>1</v>
      </c>
      <c r="O78" s="8">
        <v>6</v>
      </c>
      <c r="P78" s="5" t="s">
        <v>26</v>
      </c>
      <c r="Q78" s="7" t="s">
        <v>15</v>
      </c>
      <c r="R78" s="5">
        <f t="shared" si="1"/>
        <v>0</v>
      </c>
    </row>
    <row r="79" spans="1:18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6" t="b">
        <f>ISNUMBER(financials[[#This Row],[Date]])</f>
        <v>1</v>
      </c>
      <c r="O79" s="8">
        <v>6</v>
      </c>
      <c r="P79" s="5" t="s">
        <v>26</v>
      </c>
      <c r="Q79" s="7" t="s">
        <v>15</v>
      </c>
      <c r="R79" s="5">
        <f t="shared" si="1"/>
        <v>0</v>
      </c>
    </row>
    <row r="80" spans="1:18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6" t="b">
        <f>ISNUMBER(financials[[#This Row],[Date]])</f>
        <v>1</v>
      </c>
      <c r="O80" s="8">
        <v>7</v>
      </c>
      <c r="P80" s="5" t="s">
        <v>27</v>
      </c>
      <c r="Q80" s="7" t="s">
        <v>15</v>
      </c>
      <c r="R80" s="5">
        <f t="shared" si="1"/>
        <v>0</v>
      </c>
    </row>
    <row r="81" spans="1:18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6" t="b">
        <f>ISNUMBER(financials[[#This Row],[Date]])</f>
        <v>1</v>
      </c>
      <c r="O81" s="8">
        <v>9</v>
      </c>
      <c r="P81" s="5" t="s">
        <v>78</v>
      </c>
      <c r="Q81" s="7" t="s">
        <v>15</v>
      </c>
      <c r="R81" s="5">
        <f t="shared" si="1"/>
        <v>0</v>
      </c>
    </row>
    <row r="82" spans="1:18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6" t="b">
        <f>ISNUMBER(financials[[#This Row],[Date]])</f>
        <v>1</v>
      </c>
      <c r="O82" s="8">
        <v>10</v>
      </c>
      <c r="P82" s="5" t="s">
        <v>79</v>
      </c>
      <c r="Q82" s="7" t="s">
        <v>14</v>
      </c>
      <c r="R82" s="5">
        <f t="shared" si="1"/>
        <v>0</v>
      </c>
    </row>
    <row r="83" spans="1:18" x14ac:dyDescent="0.3">
      <c r="A83" t="s">
        <v>7</v>
      </c>
      <c r="B83" t="s">
        <v>74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6" t="b">
        <f>ISNUMBER(financials[[#This Row],[Date]])</f>
        <v>1</v>
      </c>
      <c r="O83" s="8">
        <v>11</v>
      </c>
      <c r="P83" s="5" t="s">
        <v>80</v>
      </c>
      <c r="Q83" s="7" t="s">
        <v>15</v>
      </c>
      <c r="R83" s="5">
        <f t="shared" si="1"/>
        <v>0</v>
      </c>
    </row>
    <row r="84" spans="1:18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6" t="b">
        <f>ISNUMBER(financials[[#This Row],[Date]])</f>
        <v>1</v>
      </c>
      <c r="O84" s="8">
        <v>12</v>
      </c>
      <c r="P84" s="5" t="s">
        <v>81</v>
      </c>
      <c r="Q84" s="7" t="s">
        <v>15</v>
      </c>
      <c r="R84" s="5">
        <f t="shared" si="1"/>
        <v>0</v>
      </c>
    </row>
    <row r="85" spans="1:18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6" t="b">
        <f>ISNUMBER(financials[[#This Row],[Date]])</f>
        <v>1</v>
      </c>
      <c r="O85" s="8">
        <v>4</v>
      </c>
      <c r="P85" s="5" t="s">
        <v>24</v>
      </c>
      <c r="Q85" s="7" t="s">
        <v>15</v>
      </c>
      <c r="R85" s="5">
        <f t="shared" si="1"/>
        <v>0</v>
      </c>
    </row>
    <row r="86" spans="1:18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6" t="b">
        <f>ISNUMBER(financials[[#This Row],[Date]])</f>
        <v>1</v>
      </c>
      <c r="O86" s="8">
        <v>5</v>
      </c>
      <c r="P86" s="5" t="s">
        <v>25</v>
      </c>
      <c r="Q86" s="7" t="s">
        <v>15</v>
      </c>
      <c r="R86" s="5">
        <f t="shared" si="1"/>
        <v>0</v>
      </c>
    </row>
    <row r="87" spans="1:18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6" t="b">
        <f>ISNUMBER(financials[[#This Row],[Date]])</f>
        <v>1</v>
      </c>
      <c r="O87" s="8">
        <v>8</v>
      </c>
      <c r="P87" s="5" t="s">
        <v>77</v>
      </c>
      <c r="Q87" s="7" t="s">
        <v>15</v>
      </c>
      <c r="R87" s="5">
        <f t="shared" si="1"/>
        <v>0</v>
      </c>
    </row>
    <row r="88" spans="1:18" x14ac:dyDescent="0.3">
      <c r="A88" t="s">
        <v>9</v>
      </c>
      <c r="B88" t="s">
        <v>74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6" t="b">
        <f>ISNUMBER(financials[[#This Row],[Date]])</f>
        <v>1</v>
      </c>
      <c r="O88" s="8">
        <v>10</v>
      </c>
      <c r="P88" s="5" t="s">
        <v>79</v>
      </c>
      <c r="Q88" s="7" t="s">
        <v>14</v>
      </c>
      <c r="R88" s="5">
        <f t="shared" si="1"/>
        <v>0</v>
      </c>
    </row>
    <row r="89" spans="1:18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6" t="b">
        <f>ISNUMBER(financials[[#This Row],[Date]])</f>
        <v>1</v>
      </c>
      <c r="O89" s="8">
        <v>11</v>
      </c>
      <c r="P89" s="5" t="s">
        <v>80</v>
      </c>
      <c r="Q89" s="7" t="s">
        <v>14</v>
      </c>
      <c r="R89" s="5">
        <f t="shared" si="1"/>
        <v>0</v>
      </c>
    </row>
    <row r="90" spans="1:18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6" t="b">
        <f>ISNUMBER(financials[[#This Row],[Date]])</f>
        <v>1</v>
      </c>
      <c r="O90" s="8">
        <v>3</v>
      </c>
      <c r="P90" s="5" t="s">
        <v>82</v>
      </c>
      <c r="Q90" s="7" t="s">
        <v>15</v>
      </c>
      <c r="R90" s="5">
        <f t="shared" si="1"/>
        <v>0</v>
      </c>
    </row>
    <row r="91" spans="1:18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6" t="b">
        <f>ISNUMBER(financials[[#This Row],[Date]])</f>
        <v>1</v>
      </c>
      <c r="O91" s="8">
        <v>4</v>
      </c>
      <c r="P91" s="5" t="s">
        <v>24</v>
      </c>
      <c r="Q91" s="7" t="s">
        <v>15</v>
      </c>
      <c r="R91" s="5">
        <f t="shared" si="1"/>
        <v>0</v>
      </c>
    </row>
    <row r="92" spans="1:18" x14ac:dyDescent="0.3">
      <c r="A92" t="s">
        <v>9</v>
      </c>
      <c r="B92" t="s">
        <v>74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6" t="b">
        <f>ISNUMBER(financials[[#This Row],[Date]])</f>
        <v>1</v>
      </c>
      <c r="O92" s="8">
        <v>6</v>
      </c>
      <c r="P92" s="5" t="s">
        <v>26</v>
      </c>
      <c r="Q92" s="7" t="s">
        <v>15</v>
      </c>
      <c r="R92" s="5">
        <f t="shared" si="1"/>
        <v>0</v>
      </c>
    </row>
    <row r="93" spans="1:18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6" t="b">
        <f>ISNUMBER(financials[[#This Row],[Date]])</f>
        <v>1</v>
      </c>
      <c r="O93" s="8">
        <v>6</v>
      </c>
      <c r="P93" s="5" t="s">
        <v>26</v>
      </c>
      <c r="Q93" s="7" t="s">
        <v>15</v>
      </c>
      <c r="R93" s="5">
        <f t="shared" si="1"/>
        <v>0</v>
      </c>
    </row>
    <row r="94" spans="1:18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6" t="b">
        <f>ISNUMBER(financials[[#This Row],[Date]])</f>
        <v>1</v>
      </c>
      <c r="O94" s="8">
        <v>9</v>
      </c>
      <c r="P94" s="5" t="s">
        <v>78</v>
      </c>
      <c r="Q94" s="7" t="s">
        <v>15</v>
      </c>
      <c r="R94" s="5">
        <f t="shared" si="1"/>
        <v>0</v>
      </c>
    </row>
    <row r="95" spans="1:18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6" t="b">
        <f>ISNUMBER(financials[[#This Row],[Date]])</f>
        <v>1</v>
      </c>
      <c r="O95" s="8">
        <v>10</v>
      </c>
      <c r="P95" s="5" t="s">
        <v>79</v>
      </c>
      <c r="Q95" s="7" t="s">
        <v>14</v>
      </c>
      <c r="R95" s="5">
        <f t="shared" si="1"/>
        <v>0</v>
      </c>
    </row>
    <row r="96" spans="1:18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6" t="b">
        <f>ISNUMBER(financials[[#This Row],[Date]])</f>
        <v>1</v>
      </c>
      <c r="O96" s="8">
        <v>10</v>
      </c>
      <c r="P96" s="5" t="s">
        <v>79</v>
      </c>
      <c r="Q96" s="7" t="s">
        <v>15</v>
      </c>
      <c r="R96" s="5">
        <f t="shared" si="1"/>
        <v>0</v>
      </c>
    </row>
    <row r="97" spans="1:18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6" t="b">
        <f>ISNUMBER(financials[[#This Row],[Date]])</f>
        <v>1</v>
      </c>
      <c r="O97" s="8">
        <v>11</v>
      </c>
      <c r="P97" s="5" t="s">
        <v>80</v>
      </c>
      <c r="Q97" s="7" t="s">
        <v>15</v>
      </c>
      <c r="R97" s="5">
        <f t="shared" si="1"/>
        <v>0</v>
      </c>
    </row>
    <row r="98" spans="1:18" x14ac:dyDescent="0.3">
      <c r="A98" t="s">
        <v>11</v>
      </c>
      <c r="B98" t="s">
        <v>74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6" t="b">
        <f>ISNUMBER(financials[[#This Row],[Date]])</f>
        <v>1</v>
      </c>
      <c r="O98" s="8">
        <v>9</v>
      </c>
      <c r="P98" s="5" t="s">
        <v>78</v>
      </c>
      <c r="Q98" s="7" t="s">
        <v>14</v>
      </c>
      <c r="R98" s="5">
        <f t="shared" si="1"/>
        <v>0</v>
      </c>
    </row>
    <row r="99" spans="1:18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6" t="b">
        <f>ISNUMBER(financials[[#This Row],[Date]])</f>
        <v>1</v>
      </c>
      <c r="O99" s="8">
        <v>11</v>
      </c>
      <c r="P99" s="5" t="s">
        <v>80</v>
      </c>
      <c r="Q99" s="7" t="s">
        <v>14</v>
      </c>
      <c r="R99" s="5">
        <f t="shared" si="1"/>
        <v>0</v>
      </c>
    </row>
    <row r="100" spans="1:18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6" t="b">
        <f>ISNUMBER(financials[[#This Row],[Date]])</f>
        <v>1</v>
      </c>
      <c r="O100" s="8">
        <v>4</v>
      </c>
      <c r="P100" s="5" t="s">
        <v>24</v>
      </c>
      <c r="Q100" s="7" t="s">
        <v>15</v>
      </c>
      <c r="R100" s="5">
        <f t="shared" si="1"/>
        <v>0</v>
      </c>
    </row>
    <row r="101" spans="1:18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6" t="b">
        <f>ISNUMBER(financials[[#This Row],[Date]])</f>
        <v>1</v>
      </c>
      <c r="O101" s="8">
        <v>10</v>
      </c>
      <c r="P101" s="5" t="s">
        <v>79</v>
      </c>
      <c r="Q101" s="7" t="s">
        <v>15</v>
      </c>
      <c r="R101" s="5">
        <f t="shared" si="1"/>
        <v>0</v>
      </c>
    </row>
    <row r="102" spans="1:18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6" t="b">
        <f>ISNUMBER(financials[[#This Row],[Date]])</f>
        <v>1</v>
      </c>
      <c r="O102" s="8">
        <v>10</v>
      </c>
      <c r="P102" s="5" t="s">
        <v>79</v>
      </c>
      <c r="Q102" s="7" t="s">
        <v>14</v>
      </c>
      <c r="R102" s="5">
        <f t="shared" si="1"/>
        <v>0</v>
      </c>
    </row>
    <row r="103" spans="1:18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6" t="b">
        <f>ISNUMBER(financials[[#This Row],[Date]])</f>
        <v>1</v>
      </c>
      <c r="O103" s="8">
        <v>11</v>
      </c>
      <c r="P103" s="5" t="s">
        <v>80</v>
      </c>
      <c r="Q103" s="7" t="s">
        <v>14</v>
      </c>
      <c r="R103" s="5">
        <f t="shared" si="1"/>
        <v>0</v>
      </c>
    </row>
    <row r="104" spans="1:18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6" t="b">
        <f>ISNUMBER(financials[[#This Row],[Date]])</f>
        <v>1</v>
      </c>
      <c r="O104" s="8">
        <v>12</v>
      </c>
      <c r="P104" s="5" t="s">
        <v>81</v>
      </c>
      <c r="Q104" s="7" t="s">
        <v>15</v>
      </c>
      <c r="R104" s="5">
        <f t="shared" si="1"/>
        <v>0</v>
      </c>
    </row>
    <row r="105" spans="1:18" x14ac:dyDescent="0.3">
      <c r="A105" t="s">
        <v>11</v>
      </c>
      <c r="B105" t="s">
        <v>74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6" t="b">
        <f>ISNUMBER(financials[[#This Row],[Date]])</f>
        <v>1</v>
      </c>
      <c r="O105" s="8">
        <v>6</v>
      </c>
      <c r="P105" s="5" t="s">
        <v>26</v>
      </c>
      <c r="Q105" s="7" t="s">
        <v>15</v>
      </c>
      <c r="R105" s="5">
        <f t="shared" si="1"/>
        <v>0</v>
      </c>
    </row>
    <row r="106" spans="1:18" x14ac:dyDescent="0.3">
      <c r="A106" t="s">
        <v>10</v>
      </c>
      <c r="B106" t="s">
        <v>74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6" t="b">
        <f>ISNUMBER(financials[[#This Row],[Date]])</f>
        <v>1</v>
      </c>
      <c r="O106" s="8">
        <v>10</v>
      </c>
      <c r="P106" s="5" t="s">
        <v>79</v>
      </c>
      <c r="Q106" s="7" t="s">
        <v>15</v>
      </c>
      <c r="R106" s="5">
        <f t="shared" si="1"/>
        <v>0</v>
      </c>
    </row>
    <row r="107" spans="1:18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6" t="b">
        <f>ISNUMBER(financials[[#This Row],[Date]])</f>
        <v>1</v>
      </c>
      <c r="O107" s="8">
        <v>11</v>
      </c>
      <c r="P107" s="5" t="s">
        <v>80</v>
      </c>
      <c r="Q107" s="7" t="s">
        <v>15</v>
      </c>
      <c r="R107" s="5">
        <f t="shared" si="1"/>
        <v>0</v>
      </c>
    </row>
    <row r="108" spans="1:18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6" t="b">
        <f>ISNUMBER(financials[[#This Row],[Date]])</f>
        <v>1</v>
      </c>
      <c r="O108" s="8">
        <v>11</v>
      </c>
      <c r="P108" s="5" t="s">
        <v>80</v>
      </c>
      <c r="Q108" s="7" t="s">
        <v>14</v>
      </c>
      <c r="R108" s="5">
        <f t="shared" si="1"/>
        <v>0</v>
      </c>
    </row>
    <row r="109" spans="1:18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6" t="b">
        <f>ISNUMBER(financials[[#This Row],[Date]])</f>
        <v>1</v>
      </c>
      <c r="O109" s="8">
        <v>2</v>
      </c>
      <c r="P109" s="5" t="s">
        <v>75</v>
      </c>
      <c r="Q109" s="7" t="s">
        <v>15</v>
      </c>
      <c r="R109" s="5">
        <f t="shared" si="1"/>
        <v>0</v>
      </c>
    </row>
    <row r="110" spans="1:18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6" t="b">
        <f>ISNUMBER(financials[[#This Row],[Date]])</f>
        <v>1</v>
      </c>
      <c r="O110" s="8">
        <v>5</v>
      </c>
      <c r="P110" s="5" t="s">
        <v>25</v>
      </c>
      <c r="Q110" s="7" t="s">
        <v>15</v>
      </c>
      <c r="R110" s="5">
        <f t="shared" si="1"/>
        <v>0</v>
      </c>
    </row>
    <row r="111" spans="1:18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6" t="b">
        <f>ISNUMBER(financials[[#This Row],[Date]])</f>
        <v>1</v>
      </c>
      <c r="O111" s="8">
        <v>5</v>
      </c>
      <c r="P111" s="5" t="s">
        <v>25</v>
      </c>
      <c r="Q111" s="7" t="s">
        <v>15</v>
      </c>
      <c r="R111" s="5">
        <f t="shared" si="1"/>
        <v>0</v>
      </c>
    </row>
    <row r="112" spans="1:18" x14ac:dyDescent="0.3">
      <c r="A112" t="s">
        <v>11</v>
      </c>
      <c r="B112" t="s">
        <v>74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6" t="b">
        <f>ISNUMBER(financials[[#This Row],[Date]])</f>
        <v>1</v>
      </c>
      <c r="O112" s="8">
        <v>6</v>
      </c>
      <c r="P112" s="5" t="s">
        <v>26</v>
      </c>
      <c r="Q112" s="7" t="s">
        <v>15</v>
      </c>
      <c r="R112" s="5">
        <f t="shared" si="1"/>
        <v>0</v>
      </c>
    </row>
    <row r="113" spans="1:18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6" t="b">
        <f>ISNUMBER(financials[[#This Row],[Date]])</f>
        <v>1</v>
      </c>
      <c r="O113" s="8">
        <v>6</v>
      </c>
      <c r="P113" s="5" t="s">
        <v>26</v>
      </c>
      <c r="Q113" s="7" t="s">
        <v>15</v>
      </c>
      <c r="R113" s="5">
        <f t="shared" si="1"/>
        <v>0</v>
      </c>
    </row>
    <row r="114" spans="1:18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6" t="b">
        <f>ISNUMBER(financials[[#This Row],[Date]])</f>
        <v>1</v>
      </c>
      <c r="O114" s="8">
        <v>10</v>
      </c>
      <c r="P114" s="5" t="s">
        <v>79</v>
      </c>
      <c r="Q114" s="7" t="s">
        <v>15</v>
      </c>
      <c r="R114" s="5">
        <f t="shared" si="1"/>
        <v>0</v>
      </c>
    </row>
    <row r="115" spans="1:18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6" t="b">
        <f>ISNUMBER(financials[[#This Row],[Date]])</f>
        <v>1</v>
      </c>
      <c r="O115" s="8">
        <v>10</v>
      </c>
      <c r="P115" s="5" t="s">
        <v>79</v>
      </c>
      <c r="Q115" s="7" t="s">
        <v>14</v>
      </c>
      <c r="R115" s="5">
        <f t="shared" si="1"/>
        <v>0</v>
      </c>
    </row>
    <row r="116" spans="1:18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6" t="b">
        <f>ISNUMBER(financials[[#This Row],[Date]])</f>
        <v>1</v>
      </c>
      <c r="O116" s="8">
        <v>10</v>
      </c>
      <c r="P116" s="5" t="s">
        <v>79</v>
      </c>
      <c r="Q116" s="7" t="s">
        <v>14</v>
      </c>
      <c r="R116" s="5">
        <f t="shared" si="1"/>
        <v>0</v>
      </c>
    </row>
    <row r="117" spans="1:18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6" t="b">
        <f>ISNUMBER(financials[[#This Row],[Date]])</f>
        <v>1</v>
      </c>
      <c r="O117" s="8">
        <v>11</v>
      </c>
      <c r="P117" s="5" t="s">
        <v>80</v>
      </c>
      <c r="Q117" s="7" t="s">
        <v>14</v>
      </c>
      <c r="R117" s="5">
        <f t="shared" si="1"/>
        <v>0</v>
      </c>
    </row>
    <row r="118" spans="1:18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6" t="b">
        <f>ISNUMBER(financials[[#This Row],[Date]])</f>
        <v>1</v>
      </c>
      <c r="O118" s="8">
        <v>12</v>
      </c>
      <c r="P118" s="5" t="s">
        <v>81</v>
      </c>
      <c r="Q118" s="7" t="s">
        <v>15</v>
      </c>
      <c r="R118" s="5">
        <f t="shared" si="1"/>
        <v>0</v>
      </c>
    </row>
    <row r="119" spans="1:18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6" t="b">
        <f>ISNUMBER(financials[[#This Row],[Date]])</f>
        <v>1</v>
      </c>
      <c r="O119" s="8">
        <v>12</v>
      </c>
      <c r="P119" s="5" t="s">
        <v>81</v>
      </c>
      <c r="Q119" s="7" t="s">
        <v>15</v>
      </c>
      <c r="R119" s="5">
        <f t="shared" si="1"/>
        <v>0</v>
      </c>
    </row>
    <row r="120" spans="1:18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6" t="b">
        <f>ISNUMBER(financials[[#This Row],[Date]])</f>
        <v>1</v>
      </c>
      <c r="O120" s="8">
        <v>12</v>
      </c>
      <c r="P120" s="5" t="s">
        <v>81</v>
      </c>
      <c r="Q120" s="7" t="s">
        <v>15</v>
      </c>
      <c r="R120" s="5">
        <f t="shared" si="1"/>
        <v>0</v>
      </c>
    </row>
    <row r="121" spans="1:18" x14ac:dyDescent="0.3">
      <c r="A121" t="s">
        <v>8</v>
      </c>
      <c r="B121" t="s">
        <v>74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6" t="b">
        <f>ISNUMBER(financials[[#This Row],[Date]])</f>
        <v>1</v>
      </c>
      <c r="O121" s="8">
        <v>12</v>
      </c>
      <c r="P121" s="5" t="s">
        <v>81</v>
      </c>
      <c r="Q121" s="7" t="s">
        <v>14</v>
      </c>
      <c r="R121" s="5">
        <f t="shared" si="1"/>
        <v>0</v>
      </c>
    </row>
    <row r="122" spans="1:18" x14ac:dyDescent="0.3">
      <c r="A122" t="s">
        <v>10</v>
      </c>
      <c r="B122" t="s">
        <v>74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6" t="b">
        <f>ISNUMBER(financials[[#This Row],[Date]])</f>
        <v>1</v>
      </c>
      <c r="O122" s="8">
        <v>12</v>
      </c>
      <c r="P122" s="5" t="s">
        <v>81</v>
      </c>
      <c r="Q122" s="7" t="s">
        <v>14</v>
      </c>
      <c r="R122" s="5">
        <f t="shared" si="1"/>
        <v>0</v>
      </c>
    </row>
    <row r="123" spans="1:18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6" t="b">
        <f>ISNUMBER(financials[[#This Row],[Date]])</f>
        <v>1</v>
      </c>
      <c r="O123" s="8">
        <v>12</v>
      </c>
      <c r="P123" s="5" t="s">
        <v>81</v>
      </c>
      <c r="Q123" s="7" t="s">
        <v>15</v>
      </c>
      <c r="R123" s="5">
        <f t="shared" si="1"/>
        <v>0</v>
      </c>
    </row>
    <row r="124" spans="1:18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6" t="b">
        <f>ISNUMBER(financials[[#This Row],[Date]])</f>
        <v>1</v>
      </c>
      <c r="O124" s="8">
        <v>12</v>
      </c>
      <c r="P124" s="5" t="s">
        <v>81</v>
      </c>
      <c r="Q124" s="7" t="s">
        <v>15</v>
      </c>
      <c r="R124" s="5">
        <f t="shared" si="1"/>
        <v>0</v>
      </c>
    </row>
    <row r="125" spans="1:18" x14ac:dyDescent="0.3">
      <c r="A125" t="s">
        <v>10</v>
      </c>
      <c r="B125" t="s">
        <v>74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6" t="b">
        <f>ISNUMBER(financials[[#This Row],[Date]])</f>
        <v>1</v>
      </c>
      <c r="O125" s="8">
        <v>10</v>
      </c>
      <c r="P125" s="5" t="s">
        <v>79</v>
      </c>
      <c r="Q125" s="7" t="s">
        <v>15</v>
      </c>
      <c r="R125" s="5">
        <f t="shared" si="1"/>
        <v>0</v>
      </c>
    </row>
    <row r="126" spans="1:18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6" t="b">
        <f>ISNUMBER(financials[[#This Row],[Date]])</f>
        <v>1</v>
      </c>
      <c r="O126" s="8">
        <v>10</v>
      </c>
      <c r="P126" s="5" t="s">
        <v>79</v>
      </c>
      <c r="Q126" s="7" t="s">
        <v>14</v>
      </c>
      <c r="R126" s="5">
        <f t="shared" si="1"/>
        <v>0</v>
      </c>
    </row>
    <row r="127" spans="1:18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6" t="b">
        <f>ISNUMBER(financials[[#This Row],[Date]])</f>
        <v>1</v>
      </c>
      <c r="O127" s="8">
        <v>10</v>
      </c>
      <c r="P127" s="5" t="s">
        <v>79</v>
      </c>
      <c r="Q127" s="7" t="s">
        <v>15</v>
      </c>
      <c r="R127" s="5">
        <f t="shared" si="1"/>
        <v>0</v>
      </c>
    </row>
    <row r="128" spans="1:18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6" t="b">
        <f>ISNUMBER(financials[[#This Row],[Date]])</f>
        <v>1</v>
      </c>
      <c r="O128" s="8">
        <v>10</v>
      </c>
      <c r="P128" s="5" t="s">
        <v>79</v>
      </c>
      <c r="Q128" s="7" t="s">
        <v>14</v>
      </c>
      <c r="R128" s="5">
        <f t="shared" si="1"/>
        <v>0</v>
      </c>
    </row>
    <row r="129" spans="1:18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6" t="b">
        <f>ISNUMBER(financials[[#This Row],[Date]])</f>
        <v>1</v>
      </c>
      <c r="O129" s="8">
        <v>10</v>
      </c>
      <c r="P129" s="5" t="s">
        <v>79</v>
      </c>
      <c r="Q129" s="7" t="s">
        <v>14</v>
      </c>
      <c r="R129" s="5">
        <f t="shared" si="1"/>
        <v>0</v>
      </c>
    </row>
    <row r="130" spans="1:18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6" t="b">
        <f>ISNUMBER(financials[[#This Row],[Date]])</f>
        <v>1</v>
      </c>
      <c r="O130" s="8">
        <v>12</v>
      </c>
      <c r="P130" s="5" t="s">
        <v>81</v>
      </c>
      <c r="Q130" s="7" t="s">
        <v>15</v>
      </c>
      <c r="R130" s="5">
        <f t="shared" ref="R130:R193" si="2">COUNTIFS(A:A,A130,B:B,B130,C:C,C130,D:D,D130,E:E,E130,F:F,F130,G:G,G130,H:H,H130,I:I,I130,J:J,J130,K:K,K130,L:L,L130,M:M,M130,N:N,O130,O:O,P130,P:P,Q130)</f>
        <v>0</v>
      </c>
    </row>
    <row r="131" spans="1:18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6" t="b">
        <f>ISNUMBER(financials[[#This Row],[Date]])</f>
        <v>1</v>
      </c>
      <c r="O131" s="8">
        <v>12</v>
      </c>
      <c r="P131" s="5" t="s">
        <v>81</v>
      </c>
      <c r="Q131" s="7" t="s">
        <v>14</v>
      </c>
      <c r="R131" s="5">
        <f t="shared" si="2"/>
        <v>0</v>
      </c>
    </row>
    <row r="132" spans="1:18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6" t="b">
        <f>ISNUMBER(financials[[#This Row],[Date]])</f>
        <v>1</v>
      </c>
      <c r="O132" s="8">
        <v>12</v>
      </c>
      <c r="P132" s="5" t="s">
        <v>81</v>
      </c>
      <c r="Q132" s="7" t="s">
        <v>15</v>
      </c>
      <c r="R132" s="5">
        <f t="shared" si="2"/>
        <v>0</v>
      </c>
    </row>
    <row r="133" spans="1:18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6" t="b">
        <f>ISNUMBER(financials[[#This Row],[Date]])</f>
        <v>1</v>
      </c>
      <c r="O133" s="8">
        <v>6</v>
      </c>
      <c r="P133" s="5" t="s">
        <v>26</v>
      </c>
      <c r="Q133" s="7" t="s">
        <v>15</v>
      </c>
      <c r="R133" s="5">
        <f t="shared" si="2"/>
        <v>0</v>
      </c>
    </row>
    <row r="134" spans="1:18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6" t="b">
        <f>ISNUMBER(financials[[#This Row],[Date]])</f>
        <v>1</v>
      </c>
      <c r="O134" s="8">
        <v>10</v>
      </c>
      <c r="P134" s="5" t="s">
        <v>79</v>
      </c>
      <c r="Q134" s="7" t="s">
        <v>14</v>
      </c>
      <c r="R134" s="5">
        <f t="shared" si="2"/>
        <v>0</v>
      </c>
    </row>
    <row r="135" spans="1:18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6" t="b">
        <f>ISNUMBER(financials[[#This Row],[Date]])</f>
        <v>1</v>
      </c>
      <c r="O135" s="8">
        <v>10</v>
      </c>
      <c r="P135" s="5" t="s">
        <v>79</v>
      </c>
      <c r="Q135" s="7" t="s">
        <v>15</v>
      </c>
      <c r="R135" s="5">
        <f t="shared" si="2"/>
        <v>0</v>
      </c>
    </row>
    <row r="136" spans="1:18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6" t="b">
        <f>ISNUMBER(financials[[#This Row],[Date]])</f>
        <v>1</v>
      </c>
      <c r="O136" s="8">
        <v>12</v>
      </c>
      <c r="P136" s="5" t="s">
        <v>81</v>
      </c>
      <c r="Q136" s="7" t="s">
        <v>15</v>
      </c>
      <c r="R136" s="5">
        <f t="shared" si="2"/>
        <v>0</v>
      </c>
    </row>
    <row r="137" spans="1:18" x14ac:dyDescent="0.3">
      <c r="A137" t="s">
        <v>10</v>
      </c>
      <c r="B137" t="s">
        <v>74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6" t="b">
        <f>ISNUMBER(financials[[#This Row],[Date]])</f>
        <v>1</v>
      </c>
      <c r="O137" s="8">
        <v>12</v>
      </c>
      <c r="P137" s="5" t="s">
        <v>81</v>
      </c>
      <c r="Q137" s="7" t="s">
        <v>14</v>
      </c>
      <c r="R137" s="5">
        <f t="shared" si="2"/>
        <v>0</v>
      </c>
    </row>
    <row r="138" spans="1:18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6" t="b">
        <f>ISNUMBER(financials[[#This Row],[Date]])</f>
        <v>1</v>
      </c>
      <c r="O138" s="8">
        <v>12</v>
      </c>
      <c r="P138" s="5" t="s">
        <v>81</v>
      </c>
      <c r="Q138" s="7" t="s">
        <v>14</v>
      </c>
      <c r="R138" s="5">
        <f t="shared" si="2"/>
        <v>0</v>
      </c>
    </row>
    <row r="139" spans="1:18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6" t="b">
        <f>ISNUMBER(financials[[#This Row],[Date]])</f>
        <v>1</v>
      </c>
      <c r="O139" s="8">
        <v>3</v>
      </c>
      <c r="P139" s="5" t="s">
        <v>82</v>
      </c>
      <c r="Q139" s="7" t="s">
        <v>15</v>
      </c>
      <c r="R139" s="5">
        <f t="shared" si="2"/>
        <v>0</v>
      </c>
    </row>
    <row r="140" spans="1:18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6" t="b">
        <f>ISNUMBER(financials[[#This Row],[Date]])</f>
        <v>1</v>
      </c>
      <c r="O140" s="8">
        <v>3</v>
      </c>
      <c r="P140" s="5" t="s">
        <v>82</v>
      </c>
      <c r="Q140" s="7" t="s">
        <v>15</v>
      </c>
      <c r="R140" s="5">
        <f t="shared" si="2"/>
        <v>0</v>
      </c>
    </row>
    <row r="141" spans="1:18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6" t="b">
        <f>ISNUMBER(financials[[#This Row],[Date]])</f>
        <v>1</v>
      </c>
      <c r="O141" s="8">
        <v>5</v>
      </c>
      <c r="P141" s="5" t="s">
        <v>25</v>
      </c>
      <c r="Q141" s="7" t="s">
        <v>15</v>
      </c>
      <c r="R141" s="5">
        <f t="shared" si="2"/>
        <v>0</v>
      </c>
    </row>
    <row r="142" spans="1:18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6" t="b">
        <f>ISNUMBER(financials[[#This Row],[Date]])</f>
        <v>1</v>
      </c>
      <c r="O142" s="8">
        <v>10</v>
      </c>
      <c r="P142" s="5" t="s">
        <v>79</v>
      </c>
      <c r="Q142" s="7" t="s">
        <v>14</v>
      </c>
      <c r="R142" s="5">
        <f t="shared" si="2"/>
        <v>0</v>
      </c>
    </row>
    <row r="143" spans="1:18" x14ac:dyDescent="0.3">
      <c r="A143" t="s">
        <v>10</v>
      </c>
      <c r="B143" t="s">
        <v>74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6" t="b">
        <f>ISNUMBER(financials[[#This Row],[Date]])</f>
        <v>1</v>
      </c>
      <c r="O143" s="8">
        <v>11</v>
      </c>
      <c r="P143" s="5" t="s">
        <v>80</v>
      </c>
      <c r="Q143" s="7" t="s">
        <v>15</v>
      </c>
      <c r="R143" s="5">
        <f t="shared" si="2"/>
        <v>0</v>
      </c>
    </row>
    <row r="144" spans="1:18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6" t="b">
        <f>ISNUMBER(financials[[#This Row],[Date]])</f>
        <v>1</v>
      </c>
      <c r="O144" s="8">
        <v>11</v>
      </c>
      <c r="P144" s="5" t="s">
        <v>80</v>
      </c>
      <c r="Q144" s="7" t="s">
        <v>15</v>
      </c>
      <c r="R144" s="5">
        <f t="shared" si="2"/>
        <v>0</v>
      </c>
    </row>
    <row r="145" spans="1:18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6" t="b">
        <f>ISNUMBER(financials[[#This Row],[Date]])</f>
        <v>1</v>
      </c>
      <c r="O145" s="8">
        <v>12</v>
      </c>
      <c r="P145" s="5" t="s">
        <v>81</v>
      </c>
      <c r="Q145" s="7" t="s">
        <v>15</v>
      </c>
      <c r="R145" s="5">
        <f t="shared" si="2"/>
        <v>0</v>
      </c>
    </row>
    <row r="146" spans="1:18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6" t="b">
        <f>ISNUMBER(financials[[#This Row],[Date]])</f>
        <v>1</v>
      </c>
      <c r="O146" s="8">
        <v>4</v>
      </c>
      <c r="P146" s="5" t="s">
        <v>24</v>
      </c>
      <c r="Q146" s="7" t="s">
        <v>15</v>
      </c>
      <c r="R146" s="5">
        <f t="shared" si="2"/>
        <v>0</v>
      </c>
    </row>
    <row r="147" spans="1:18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6" t="b">
        <f>ISNUMBER(financials[[#This Row],[Date]])</f>
        <v>1</v>
      </c>
      <c r="O147" s="8">
        <v>4</v>
      </c>
      <c r="P147" s="5" t="s">
        <v>24</v>
      </c>
      <c r="Q147" s="7" t="s">
        <v>15</v>
      </c>
      <c r="R147" s="5">
        <f t="shared" si="2"/>
        <v>0</v>
      </c>
    </row>
    <row r="148" spans="1:18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6" t="b">
        <f>ISNUMBER(financials[[#This Row],[Date]])</f>
        <v>1</v>
      </c>
      <c r="O148" s="8">
        <v>6</v>
      </c>
      <c r="P148" s="5" t="s">
        <v>26</v>
      </c>
      <c r="Q148" s="7" t="s">
        <v>15</v>
      </c>
      <c r="R148" s="5">
        <f t="shared" si="2"/>
        <v>0</v>
      </c>
    </row>
    <row r="149" spans="1:18" x14ac:dyDescent="0.3">
      <c r="A149" t="s">
        <v>11</v>
      </c>
      <c r="B149" t="s">
        <v>74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6" t="b">
        <f>ISNUMBER(financials[[#This Row],[Date]])</f>
        <v>1</v>
      </c>
      <c r="O149" s="8">
        <v>9</v>
      </c>
      <c r="P149" s="5" t="s">
        <v>78</v>
      </c>
      <c r="Q149" s="7" t="s">
        <v>15</v>
      </c>
      <c r="R149" s="5">
        <f t="shared" si="2"/>
        <v>0</v>
      </c>
    </row>
    <row r="150" spans="1:18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6" t="b">
        <f>ISNUMBER(financials[[#This Row],[Date]])</f>
        <v>1</v>
      </c>
      <c r="O150" s="8">
        <v>12</v>
      </c>
      <c r="P150" s="5" t="s">
        <v>81</v>
      </c>
      <c r="Q150" s="7" t="s">
        <v>14</v>
      </c>
      <c r="R150" s="5">
        <f t="shared" si="2"/>
        <v>0</v>
      </c>
    </row>
    <row r="151" spans="1:18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6" t="b">
        <f>ISNUMBER(financials[[#This Row],[Date]])</f>
        <v>1</v>
      </c>
      <c r="O151" s="8">
        <v>2</v>
      </c>
      <c r="P151" s="5" t="s">
        <v>75</v>
      </c>
      <c r="Q151" s="7" t="s">
        <v>15</v>
      </c>
      <c r="R151" s="5">
        <f t="shared" si="2"/>
        <v>0</v>
      </c>
    </row>
    <row r="152" spans="1:18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6" t="b">
        <f>ISNUMBER(financials[[#This Row],[Date]])</f>
        <v>1</v>
      </c>
      <c r="O152" s="8">
        <v>6</v>
      </c>
      <c r="P152" s="5" t="s">
        <v>26</v>
      </c>
      <c r="Q152" s="7" t="s">
        <v>15</v>
      </c>
      <c r="R152" s="5">
        <f t="shared" si="2"/>
        <v>0</v>
      </c>
    </row>
    <row r="153" spans="1:18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6" t="b">
        <f>ISNUMBER(financials[[#This Row],[Date]])</f>
        <v>1</v>
      </c>
      <c r="O153" s="8">
        <v>9</v>
      </c>
      <c r="P153" s="5" t="s">
        <v>78</v>
      </c>
      <c r="Q153" s="7" t="s">
        <v>15</v>
      </c>
      <c r="R153" s="5">
        <f t="shared" si="2"/>
        <v>0</v>
      </c>
    </row>
    <row r="154" spans="1:18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6" t="b">
        <f>ISNUMBER(financials[[#This Row],[Date]])</f>
        <v>1</v>
      </c>
      <c r="O154" s="8">
        <v>9</v>
      </c>
      <c r="P154" s="5" t="s">
        <v>78</v>
      </c>
      <c r="Q154" s="7" t="s">
        <v>14</v>
      </c>
      <c r="R154" s="5">
        <f t="shared" si="2"/>
        <v>0</v>
      </c>
    </row>
    <row r="155" spans="1:18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6" t="b">
        <f>ISNUMBER(financials[[#This Row],[Date]])</f>
        <v>1</v>
      </c>
      <c r="O155" s="8">
        <v>12</v>
      </c>
      <c r="P155" s="5" t="s">
        <v>81</v>
      </c>
      <c r="Q155" s="7" t="s">
        <v>15</v>
      </c>
      <c r="R155" s="5">
        <f t="shared" si="2"/>
        <v>0</v>
      </c>
    </row>
    <row r="156" spans="1:18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6" t="b">
        <f>ISNUMBER(financials[[#This Row],[Date]])</f>
        <v>1</v>
      </c>
      <c r="O156" s="8">
        <v>12</v>
      </c>
      <c r="P156" s="5" t="s">
        <v>81</v>
      </c>
      <c r="Q156" s="7" t="s">
        <v>15</v>
      </c>
      <c r="R156" s="5">
        <f t="shared" si="2"/>
        <v>0</v>
      </c>
    </row>
    <row r="157" spans="1:18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6" t="b">
        <f>ISNUMBER(financials[[#This Row],[Date]])</f>
        <v>1</v>
      </c>
      <c r="O157" s="8">
        <v>1</v>
      </c>
      <c r="P157" s="5" t="s">
        <v>76</v>
      </c>
      <c r="Q157" s="7" t="s">
        <v>15</v>
      </c>
      <c r="R157" s="5">
        <f t="shared" si="2"/>
        <v>0</v>
      </c>
    </row>
    <row r="158" spans="1:18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6" t="b">
        <f>ISNUMBER(financials[[#This Row],[Date]])</f>
        <v>1</v>
      </c>
      <c r="O158" s="8">
        <v>3</v>
      </c>
      <c r="P158" s="5" t="s">
        <v>82</v>
      </c>
      <c r="Q158" s="7" t="s">
        <v>15</v>
      </c>
      <c r="R158" s="5">
        <f t="shared" si="2"/>
        <v>0</v>
      </c>
    </row>
    <row r="159" spans="1:18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6" t="b">
        <f>ISNUMBER(financials[[#This Row],[Date]])</f>
        <v>1</v>
      </c>
      <c r="O159" s="8">
        <v>6</v>
      </c>
      <c r="P159" s="5" t="s">
        <v>26</v>
      </c>
      <c r="Q159" s="7" t="s">
        <v>15</v>
      </c>
      <c r="R159" s="5">
        <f t="shared" si="2"/>
        <v>0</v>
      </c>
    </row>
    <row r="160" spans="1:18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6" t="b">
        <f>ISNUMBER(financials[[#This Row],[Date]])</f>
        <v>1</v>
      </c>
      <c r="O160" s="8">
        <v>6</v>
      </c>
      <c r="P160" s="5" t="s">
        <v>26</v>
      </c>
      <c r="Q160" s="7" t="s">
        <v>15</v>
      </c>
      <c r="R160" s="5">
        <f t="shared" si="2"/>
        <v>0</v>
      </c>
    </row>
    <row r="161" spans="1:18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6" t="b">
        <f>ISNUMBER(financials[[#This Row],[Date]])</f>
        <v>1</v>
      </c>
      <c r="O161" s="8">
        <v>6</v>
      </c>
      <c r="P161" s="5" t="s">
        <v>26</v>
      </c>
      <c r="Q161" s="7" t="s">
        <v>15</v>
      </c>
      <c r="R161" s="5">
        <f t="shared" si="2"/>
        <v>0</v>
      </c>
    </row>
    <row r="162" spans="1:18" x14ac:dyDescent="0.3">
      <c r="A162" t="s">
        <v>11</v>
      </c>
      <c r="B162" t="s">
        <v>74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6" t="b">
        <f>ISNUMBER(financials[[#This Row],[Date]])</f>
        <v>1</v>
      </c>
      <c r="O162" s="8">
        <v>7</v>
      </c>
      <c r="P162" s="5" t="s">
        <v>27</v>
      </c>
      <c r="Q162" s="7" t="s">
        <v>15</v>
      </c>
      <c r="R162" s="5">
        <f t="shared" si="2"/>
        <v>0</v>
      </c>
    </row>
    <row r="163" spans="1:18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6" t="b">
        <f>ISNUMBER(financials[[#This Row],[Date]])</f>
        <v>1</v>
      </c>
      <c r="O163" s="8">
        <v>10</v>
      </c>
      <c r="P163" s="5" t="s">
        <v>79</v>
      </c>
      <c r="Q163" s="7" t="s">
        <v>15</v>
      </c>
      <c r="R163" s="5">
        <f t="shared" si="2"/>
        <v>0</v>
      </c>
    </row>
    <row r="164" spans="1:18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6" t="b">
        <f>ISNUMBER(financials[[#This Row],[Date]])</f>
        <v>1</v>
      </c>
      <c r="O164" s="8">
        <v>10</v>
      </c>
      <c r="P164" s="5" t="s">
        <v>79</v>
      </c>
      <c r="Q164" s="7" t="s">
        <v>14</v>
      </c>
      <c r="R164" s="5">
        <f t="shared" si="2"/>
        <v>0</v>
      </c>
    </row>
    <row r="165" spans="1:18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6" t="b">
        <f>ISNUMBER(financials[[#This Row],[Date]])</f>
        <v>1</v>
      </c>
      <c r="O165" s="8">
        <v>12</v>
      </c>
      <c r="P165" s="5" t="s">
        <v>81</v>
      </c>
      <c r="Q165" s="7" t="s">
        <v>15</v>
      </c>
      <c r="R165" s="5">
        <f t="shared" si="2"/>
        <v>0</v>
      </c>
    </row>
    <row r="166" spans="1:18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6" t="b">
        <f>ISNUMBER(financials[[#This Row],[Date]])</f>
        <v>1</v>
      </c>
      <c r="O166" s="8">
        <v>12</v>
      </c>
      <c r="P166" s="5" t="s">
        <v>81</v>
      </c>
      <c r="Q166" s="7" t="s">
        <v>15</v>
      </c>
      <c r="R166" s="5">
        <f t="shared" si="2"/>
        <v>0</v>
      </c>
    </row>
    <row r="167" spans="1:18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6" t="b">
        <f>ISNUMBER(financials[[#This Row],[Date]])</f>
        <v>1</v>
      </c>
      <c r="O167" s="8">
        <v>10</v>
      </c>
      <c r="P167" s="5" t="s">
        <v>79</v>
      </c>
      <c r="Q167" s="7" t="s">
        <v>15</v>
      </c>
      <c r="R167" s="5">
        <f t="shared" si="2"/>
        <v>0</v>
      </c>
    </row>
    <row r="168" spans="1:18" x14ac:dyDescent="0.3">
      <c r="A168" t="s">
        <v>7</v>
      </c>
      <c r="B168" t="s">
        <v>74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6" t="b">
        <f>ISNUMBER(financials[[#This Row],[Date]])</f>
        <v>1</v>
      </c>
      <c r="O168" s="8">
        <v>2</v>
      </c>
      <c r="P168" s="5" t="s">
        <v>75</v>
      </c>
      <c r="Q168" s="7" t="s">
        <v>15</v>
      </c>
      <c r="R168" s="5">
        <f t="shared" si="2"/>
        <v>0</v>
      </c>
    </row>
    <row r="169" spans="1:18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6" t="b">
        <f>ISNUMBER(financials[[#This Row],[Date]])</f>
        <v>1</v>
      </c>
      <c r="O169" s="8">
        <v>4</v>
      </c>
      <c r="P169" s="5" t="s">
        <v>24</v>
      </c>
      <c r="Q169" s="7" t="s">
        <v>15</v>
      </c>
      <c r="R169" s="5">
        <f t="shared" si="2"/>
        <v>0</v>
      </c>
    </row>
    <row r="170" spans="1:18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6" t="b">
        <f>ISNUMBER(financials[[#This Row],[Date]])</f>
        <v>1</v>
      </c>
      <c r="O170" s="8">
        <v>6</v>
      </c>
      <c r="P170" s="5" t="s">
        <v>26</v>
      </c>
      <c r="Q170" s="7" t="s">
        <v>15</v>
      </c>
      <c r="R170" s="5">
        <f t="shared" si="2"/>
        <v>0</v>
      </c>
    </row>
    <row r="171" spans="1:18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6" t="b">
        <f>ISNUMBER(financials[[#This Row],[Date]])</f>
        <v>1</v>
      </c>
      <c r="O171" s="8">
        <v>8</v>
      </c>
      <c r="P171" s="5" t="s">
        <v>77</v>
      </c>
      <c r="Q171" s="7" t="s">
        <v>15</v>
      </c>
      <c r="R171" s="5">
        <f t="shared" si="2"/>
        <v>0</v>
      </c>
    </row>
    <row r="172" spans="1:18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6" t="b">
        <f>ISNUMBER(financials[[#This Row],[Date]])</f>
        <v>1</v>
      </c>
      <c r="O172" s="8">
        <v>8</v>
      </c>
      <c r="P172" s="5" t="s">
        <v>77</v>
      </c>
      <c r="Q172" s="7" t="s">
        <v>15</v>
      </c>
      <c r="R172" s="5">
        <f t="shared" si="2"/>
        <v>0</v>
      </c>
    </row>
    <row r="173" spans="1:18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6" t="b">
        <f>ISNUMBER(financials[[#This Row],[Date]])</f>
        <v>1</v>
      </c>
      <c r="O173" s="8">
        <v>10</v>
      </c>
      <c r="P173" s="5" t="s">
        <v>79</v>
      </c>
      <c r="Q173" s="7" t="s">
        <v>14</v>
      </c>
      <c r="R173" s="5">
        <f t="shared" si="2"/>
        <v>0</v>
      </c>
    </row>
    <row r="174" spans="1:18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6" t="b">
        <f>ISNUMBER(financials[[#This Row],[Date]])</f>
        <v>1</v>
      </c>
      <c r="O174" s="8">
        <v>5</v>
      </c>
      <c r="P174" s="5" t="s">
        <v>25</v>
      </c>
      <c r="Q174" s="7" t="s">
        <v>15</v>
      </c>
      <c r="R174" s="5">
        <f t="shared" si="2"/>
        <v>0</v>
      </c>
    </row>
    <row r="175" spans="1:18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6" t="b">
        <f>ISNUMBER(financials[[#This Row],[Date]])</f>
        <v>1</v>
      </c>
      <c r="O175" s="8">
        <v>9</v>
      </c>
      <c r="P175" s="5" t="s">
        <v>78</v>
      </c>
      <c r="Q175" s="7" t="s">
        <v>14</v>
      </c>
      <c r="R175" s="5">
        <f t="shared" si="2"/>
        <v>0</v>
      </c>
    </row>
    <row r="176" spans="1:18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6" t="b">
        <f>ISNUMBER(financials[[#This Row],[Date]])</f>
        <v>1</v>
      </c>
      <c r="O176" s="8">
        <v>4</v>
      </c>
      <c r="P176" s="5" t="s">
        <v>24</v>
      </c>
      <c r="Q176" s="7" t="s">
        <v>15</v>
      </c>
      <c r="R176" s="5">
        <f t="shared" si="2"/>
        <v>0</v>
      </c>
    </row>
    <row r="177" spans="1:18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6" t="b">
        <f>ISNUMBER(financials[[#This Row],[Date]])</f>
        <v>1</v>
      </c>
      <c r="O177" s="8">
        <v>1</v>
      </c>
      <c r="P177" s="5" t="s">
        <v>76</v>
      </c>
      <c r="Q177" s="7" t="s">
        <v>15</v>
      </c>
      <c r="R177" s="5">
        <f t="shared" si="2"/>
        <v>0</v>
      </c>
    </row>
    <row r="178" spans="1:18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6" t="b">
        <f>ISNUMBER(financials[[#This Row],[Date]])</f>
        <v>1</v>
      </c>
      <c r="O178" s="8">
        <v>10</v>
      </c>
      <c r="P178" s="5" t="s">
        <v>79</v>
      </c>
      <c r="Q178" s="7" t="s">
        <v>15</v>
      </c>
      <c r="R178" s="5">
        <f t="shared" si="2"/>
        <v>0</v>
      </c>
    </row>
    <row r="179" spans="1:18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6" t="b">
        <f>ISNUMBER(financials[[#This Row],[Date]])</f>
        <v>1</v>
      </c>
      <c r="O179" s="8">
        <v>10</v>
      </c>
      <c r="P179" s="5" t="s">
        <v>79</v>
      </c>
      <c r="Q179" s="7" t="s">
        <v>15</v>
      </c>
      <c r="R179" s="5">
        <f t="shared" si="2"/>
        <v>0</v>
      </c>
    </row>
    <row r="180" spans="1:18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6" t="b">
        <f>ISNUMBER(financials[[#This Row],[Date]])</f>
        <v>1</v>
      </c>
      <c r="O180" s="8">
        <v>12</v>
      </c>
      <c r="P180" s="5" t="s">
        <v>81</v>
      </c>
      <c r="Q180" s="7" t="s">
        <v>14</v>
      </c>
      <c r="R180" s="5">
        <f t="shared" si="2"/>
        <v>0</v>
      </c>
    </row>
    <row r="181" spans="1:18" x14ac:dyDescent="0.3">
      <c r="A181" t="s">
        <v>10</v>
      </c>
      <c r="B181" t="s">
        <v>74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6" t="b">
        <f>ISNUMBER(financials[[#This Row],[Date]])</f>
        <v>1</v>
      </c>
      <c r="O181" s="8">
        <v>9</v>
      </c>
      <c r="P181" s="5" t="s">
        <v>78</v>
      </c>
      <c r="Q181" s="7" t="s">
        <v>14</v>
      </c>
      <c r="R181" s="5">
        <f t="shared" si="2"/>
        <v>0</v>
      </c>
    </row>
    <row r="182" spans="1:18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6" t="b">
        <f>ISNUMBER(financials[[#This Row],[Date]])</f>
        <v>1</v>
      </c>
      <c r="O182" s="8">
        <v>10</v>
      </c>
      <c r="P182" s="5" t="s">
        <v>79</v>
      </c>
      <c r="Q182" s="7" t="s">
        <v>14</v>
      </c>
      <c r="R182" s="5">
        <f t="shared" si="2"/>
        <v>0</v>
      </c>
    </row>
    <row r="183" spans="1:18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6" t="b">
        <f>ISNUMBER(financials[[#This Row],[Date]])</f>
        <v>1</v>
      </c>
      <c r="O183" s="8">
        <v>10</v>
      </c>
      <c r="P183" s="5" t="s">
        <v>79</v>
      </c>
      <c r="Q183" s="7" t="s">
        <v>15</v>
      </c>
      <c r="R183" s="5">
        <f t="shared" si="2"/>
        <v>0</v>
      </c>
    </row>
    <row r="184" spans="1:18" x14ac:dyDescent="0.3">
      <c r="A184" t="s">
        <v>10</v>
      </c>
      <c r="B184" t="s">
        <v>74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6" t="b">
        <f>ISNUMBER(financials[[#This Row],[Date]])</f>
        <v>1</v>
      </c>
      <c r="O184" s="8">
        <v>12</v>
      </c>
      <c r="P184" s="5" t="s">
        <v>81</v>
      </c>
      <c r="Q184" s="7" t="s">
        <v>15</v>
      </c>
      <c r="R184" s="5">
        <f t="shared" si="2"/>
        <v>0</v>
      </c>
    </row>
    <row r="185" spans="1:18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6" t="b">
        <f>ISNUMBER(financials[[#This Row],[Date]])</f>
        <v>1</v>
      </c>
      <c r="O185" s="8">
        <v>3</v>
      </c>
      <c r="P185" s="5" t="s">
        <v>82</v>
      </c>
      <c r="Q185" s="7" t="s">
        <v>15</v>
      </c>
      <c r="R185" s="5">
        <f t="shared" si="2"/>
        <v>0</v>
      </c>
    </row>
    <row r="186" spans="1:18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6" t="b">
        <f>ISNUMBER(financials[[#This Row],[Date]])</f>
        <v>1</v>
      </c>
      <c r="O186" s="8">
        <v>8</v>
      </c>
      <c r="P186" s="5" t="s">
        <v>77</v>
      </c>
      <c r="Q186" s="7" t="s">
        <v>15</v>
      </c>
      <c r="R186" s="5">
        <f t="shared" si="2"/>
        <v>0</v>
      </c>
    </row>
    <row r="187" spans="1:18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6" t="b">
        <f>ISNUMBER(financials[[#This Row],[Date]])</f>
        <v>1</v>
      </c>
      <c r="O187" s="8">
        <v>10</v>
      </c>
      <c r="P187" s="5" t="s">
        <v>79</v>
      </c>
      <c r="Q187" s="7" t="s">
        <v>14</v>
      </c>
      <c r="R187" s="5">
        <f t="shared" si="2"/>
        <v>0</v>
      </c>
    </row>
    <row r="188" spans="1:18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6" t="b">
        <f>ISNUMBER(financials[[#This Row],[Date]])</f>
        <v>1</v>
      </c>
      <c r="O188" s="8">
        <v>10</v>
      </c>
      <c r="P188" s="5" t="s">
        <v>79</v>
      </c>
      <c r="Q188" s="7" t="s">
        <v>15</v>
      </c>
      <c r="R188" s="5">
        <f t="shared" si="2"/>
        <v>0</v>
      </c>
    </row>
    <row r="189" spans="1:18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6" t="b">
        <f>ISNUMBER(financials[[#This Row],[Date]])</f>
        <v>1</v>
      </c>
      <c r="O189" s="8">
        <v>12</v>
      </c>
      <c r="P189" s="5" t="s">
        <v>81</v>
      </c>
      <c r="Q189" s="7" t="s">
        <v>15</v>
      </c>
      <c r="R189" s="5">
        <f t="shared" si="2"/>
        <v>0</v>
      </c>
    </row>
    <row r="190" spans="1:18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6" t="b">
        <f>ISNUMBER(financials[[#This Row],[Date]])</f>
        <v>1</v>
      </c>
      <c r="O190" s="8">
        <v>1</v>
      </c>
      <c r="P190" s="5" t="s">
        <v>76</v>
      </c>
      <c r="Q190" s="7" t="s">
        <v>15</v>
      </c>
      <c r="R190" s="5">
        <f t="shared" si="2"/>
        <v>0</v>
      </c>
    </row>
    <row r="191" spans="1:18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6" t="b">
        <f>ISNUMBER(financials[[#This Row],[Date]])</f>
        <v>1</v>
      </c>
      <c r="O191" s="8">
        <v>3</v>
      </c>
      <c r="P191" s="5" t="s">
        <v>82</v>
      </c>
      <c r="Q191" s="7" t="s">
        <v>15</v>
      </c>
      <c r="R191" s="5">
        <f t="shared" si="2"/>
        <v>0</v>
      </c>
    </row>
    <row r="192" spans="1:18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6" t="b">
        <f>ISNUMBER(financials[[#This Row],[Date]])</f>
        <v>1</v>
      </c>
      <c r="O192" s="8">
        <v>4</v>
      </c>
      <c r="P192" s="5" t="s">
        <v>24</v>
      </c>
      <c r="Q192" s="7" t="s">
        <v>15</v>
      </c>
      <c r="R192" s="5">
        <f t="shared" si="2"/>
        <v>0</v>
      </c>
    </row>
    <row r="193" spans="1:18" x14ac:dyDescent="0.3">
      <c r="A193" t="s">
        <v>7</v>
      </c>
      <c r="B193" t="s">
        <v>74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6" t="b">
        <f>ISNUMBER(financials[[#This Row],[Date]])</f>
        <v>1</v>
      </c>
      <c r="O193" s="8">
        <v>5</v>
      </c>
      <c r="P193" s="5" t="s">
        <v>25</v>
      </c>
      <c r="Q193" s="7" t="s">
        <v>15</v>
      </c>
      <c r="R193" s="5">
        <f t="shared" si="2"/>
        <v>0</v>
      </c>
    </row>
    <row r="194" spans="1:18" x14ac:dyDescent="0.3">
      <c r="A194" t="s">
        <v>10</v>
      </c>
      <c r="B194" t="s">
        <v>74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6" t="b">
        <f>ISNUMBER(financials[[#This Row],[Date]])</f>
        <v>1</v>
      </c>
      <c r="O194" s="8">
        <v>7</v>
      </c>
      <c r="P194" s="5" t="s">
        <v>27</v>
      </c>
      <c r="Q194" s="7" t="s">
        <v>15</v>
      </c>
      <c r="R194" s="5">
        <f t="shared" ref="R194:R257" si="3">COUNTIFS(A:A,A194,B:B,B194,C:C,C194,D:D,D194,E:E,E194,F:F,F194,G:G,G194,H:H,H194,I:I,I194,J:J,J194,K:K,K194,L:L,L194,M:M,M194,N:N,O194,O:O,P194,P:P,Q194)</f>
        <v>0</v>
      </c>
    </row>
    <row r="195" spans="1:18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6" t="b">
        <f>ISNUMBER(financials[[#This Row],[Date]])</f>
        <v>1</v>
      </c>
      <c r="O195" s="8">
        <v>7</v>
      </c>
      <c r="P195" s="5" t="s">
        <v>27</v>
      </c>
      <c r="Q195" s="7" t="s">
        <v>15</v>
      </c>
      <c r="R195" s="5">
        <f t="shared" si="3"/>
        <v>0</v>
      </c>
    </row>
    <row r="196" spans="1:18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6" t="b">
        <f>ISNUMBER(financials[[#This Row],[Date]])</f>
        <v>1</v>
      </c>
      <c r="O196" s="8">
        <v>9</v>
      </c>
      <c r="P196" s="5" t="s">
        <v>78</v>
      </c>
      <c r="Q196" s="7" t="s">
        <v>15</v>
      </c>
      <c r="R196" s="5">
        <f t="shared" si="3"/>
        <v>0</v>
      </c>
    </row>
    <row r="197" spans="1:18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6" t="b">
        <f>ISNUMBER(financials[[#This Row],[Date]])</f>
        <v>1</v>
      </c>
      <c r="O197" s="8">
        <v>9</v>
      </c>
      <c r="P197" s="5" t="s">
        <v>78</v>
      </c>
      <c r="Q197" s="7" t="s">
        <v>15</v>
      </c>
      <c r="R197" s="5">
        <f t="shared" si="3"/>
        <v>0</v>
      </c>
    </row>
    <row r="198" spans="1:18" x14ac:dyDescent="0.3">
      <c r="A198" t="s">
        <v>10</v>
      </c>
      <c r="B198" t="s">
        <v>74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6" t="b">
        <f>ISNUMBER(financials[[#This Row],[Date]])</f>
        <v>1</v>
      </c>
      <c r="O198" s="8">
        <v>9</v>
      </c>
      <c r="P198" s="5" t="s">
        <v>78</v>
      </c>
      <c r="Q198" s="7" t="s">
        <v>15</v>
      </c>
      <c r="R198" s="5">
        <f t="shared" si="3"/>
        <v>0</v>
      </c>
    </row>
    <row r="199" spans="1:18" x14ac:dyDescent="0.3">
      <c r="A199" t="s">
        <v>8</v>
      </c>
      <c r="B199" t="s">
        <v>74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6" t="b">
        <f>ISNUMBER(financials[[#This Row],[Date]])</f>
        <v>1</v>
      </c>
      <c r="O199" s="8">
        <v>10</v>
      </c>
      <c r="P199" s="5" t="s">
        <v>79</v>
      </c>
      <c r="Q199" s="7" t="s">
        <v>14</v>
      </c>
      <c r="R199" s="5">
        <f t="shared" si="3"/>
        <v>0</v>
      </c>
    </row>
    <row r="200" spans="1:18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6" t="b">
        <f>ISNUMBER(financials[[#This Row],[Date]])</f>
        <v>1</v>
      </c>
      <c r="O200" s="8">
        <v>10</v>
      </c>
      <c r="P200" s="5" t="s">
        <v>79</v>
      </c>
      <c r="Q200" s="7" t="s">
        <v>14</v>
      </c>
      <c r="R200" s="5">
        <f t="shared" si="3"/>
        <v>0</v>
      </c>
    </row>
    <row r="201" spans="1:18" x14ac:dyDescent="0.3">
      <c r="A201" t="s">
        <v>10</v>
      </c>
      <c r="B201" t="s">
        <v>74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6" t="b">
        <f>ISNUMBER(financials[[#This Row],[Date]])</f>
        <v>1</v>
      </c>
      <c r="O201" s="8">
        <v>12</v>
      </c>
      <c r="P201" s="5" t="s">
        <v>81</v>
      </c>
      <c r="Q201" s="7" t="s">
        <v>15</v>
      </c>
      <c r="R201" s="5">
        <f t="shared" si="3"/>
        <v>0</v>
      </c>
    </row>
    <row r="202" spans="1:18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6" t="b">
        <f>ISNUMBER(financials[[#This Row],[Date]])</f>
        <v>1</v>
      </c>
      <c r="O202" s="8">
        <v>12</v>
      </c>
      <c r="P202" s="5" t="s">
        <v>81</v>
      </c>
      <c r="Q202" s="7" t="s">
        <v>15</v>
      </c>
      <c r="R202" s="5">
        <f t="shared" si="3"/>
        <v>0</v>
      </c>
    </row>
    <row r="203" spans="1:18" x14ac:dyDescent="0.3">
      <c r="A203" t="s">
        <v>11</v>
      </c>
      <c r="B203" t="s">
        <v>74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6" t="b">
        <f>ISNUMBER(financials[[#This Row],[Date]])</f>
        <v>1</v>
      </c>
      <c r="O203" s="8">
        <v>3</v>
      </c>
      <c r="P203" s="5" t="s">
        <v>82</v>
      </c>
      <c r="Q203" s="7" t="s">
        <v>15</v>
      </c>
      <c r="R203" s="5">
        <f t="shared" si="3"/>
        <v>0</v>
      </c>
    </row>
    <row r="204" spans="1:18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6" t="b">
        <f>ISNUMBER(financials[[#This Row],[Date]])</f>
        <v>1</v>
      </c>
      <c r="O204" s="8">
        <v>9</v>
      </c>
      <c r="P204" s="5" t="s">
        <v>78</v>
      </c>
      <c r="Q204" s="7" t="s">
        <v>14</v>
      </c>
      <c r="R204" s="5">
        <f t="shared" si="3"/>
        <v>0</v>
      </c>
    </row>
    <row r="205" spans="1:18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6" t="b">
        <f>ISNUMBER(financials[[#This Row],[Date]])</f>
        <v>1</v>
      </c>
      <c r="O205" s="8">
        <v>10</v>
      </c>
      <c r="P205" s="5" t="s">
        <v>79</v>
      </c>
      <c r="Q205" s="7" t="s">
        <v>15</v>
      </c>
      <c r="R205" s="5">
        <f t="shared" si="3"/>
        <v>0</v>
      </c>
    </row>
    <row r="206" spans="1:18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6" t="b">
        <f>ISNUMBER(financials[[#This Row],[Date]])</f>
        <v>1</v>
      </c>
      <c r="O206" s="8">
        <v>5</v>
      </c>
      <c r="P206" s="5" t="s">
        <v>25</v>
      </c>
      <c r="Q206" s="7" t="s">
        <v>15</v>
      </c>
      <c r="R206" s="5">
        <f t="shared" si="3"/>
        <v>0</v>
      </c>
    </row>
    <row r="207" spans="1:18" x14ac:dyDescent="0.3">
      <c r="A207" t="s">
        <v>10</v>
      </c>
      <c r="B207" t="s">
        <v>74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6" t="b">
        <f>ISNUMBER(financials[[#This Row],[Date]])</f>
        <v>1</v>
      </c>
      <c r="O207" s="8">
        <v>9</v>
      </c>
      <c r="P207" s="5" t="s">
        <v>78</v>
      </c>
      <c r="Q207" s="7" t="s">
        <v>14</v>
      </c>
      <c r="R207" s="5">
        <f t="shared" si="3"/>
        <v>0</v>
      </c>
    </row>
    <row r="208" spans="1:18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6" t="b">
        <f>ISNUMBER(financials[[#This Row],[Date]])</f>
        <v>1</v>
      </c>
      <c r="O208" s="8">
        <v>10</v>
      </c>
      <c r="P208" s="5" t="s">
        <v>79</v>
      </c>
      <c r="Q208" s="7" t="s">
        <v>15</v>
      </c>
      <c r="R208" s="5">
        <f t="shared" si="3"/>
        <v>0</v>
      </c>
    </row>
    <row r="209" spans="1:18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6" t="b">
        <f>ISNUMBER(financials[[#This Row],[Date]])</f>
        <v>1</v>
      </c>
      <c r="O209" s="8">
        <v>10</v>
      </c>
      <c r="P209" s="5" t="s">
        <v>79</v>
      </c>
      <c r="Q209" s="7" t="s">
        <v>14</v>
      </c>
      <c r="R209" s="5">
        <f t="shared" si="3"/>
        <v>0</v>
      </c>
    </row>
    <row r="210" spans="1:18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6" t="b">
        <f>ISNUMBER(financials[[#This Row],[Date]])</f>
        <v>1</v>
      </c>
      <c r="O210" s="8">
        <v>2</v>
      </c>
      <c r="P210" s="5" t="s">
        <v>75</v>
      </c>
      <c r="Q210" s="7" t="s">
        <v>15</v>
      </c>
      <c r="R210" s="5">
        <f t="shared" si="3"/>
        <v>0</v>
      </c>
    </row>
    <row r="211" spans="1:18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6" t="b">
        <f>ISNUMBER(financials[[#This Row],[Date]])</f>
        <v>1</v>
      </c>
      <c r="O211" s="8">
        <v>4</v>
      </c>
      <c r="P211" s="5" t="s">
        <v>24</v>
      </c>
      <c r="Q211" s="7" t="s">
        <v>15</v>
      </c>
      <c r="R211" s="5">
        <f t="shared" si="3"/>
        <v>0</v>
      </c>
    </row>
    <row r="212" spans="1:18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6" t="b">
        <f>ISNUMBER(financials[[#This Row],[Date]])</f>
        <v>1</v>
      </c>
      <c r="O212" s="8">
        <v>9</v>
      </c>
      <c r="P212" s="5" t="s">
        <v>78</v>
      </c>
      <c r="Q212" s="7" t="s">
        <v>15</v>
      </c>
      <c r="R212" s="5">
        <f t="shared" si="3"/>
        <v>0</v>
      </c>
    </row>
    <row r="213" spans="1:18" x14ac:dyDescent="0.3">
      <c r="A213" t="s">
        <v>8</v>
      </c>
      <c r="B213" t="s">
        <v>74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6" t="b">
        <f>ISNUMBER(financials[[#This Row],[Date]])</f>
        <v>1</v>
      </c>
      <c r="O213" s="8">
        <v>10</v>
      </c>
      <c r="P213" s="5" t="s">
        <v>79</v>
      </c>
      <c r="Q213" s="7" t="s">
        <v>14</v>
      </c>
      <c r="R213" s="5">
        <f t="shared" si="3"/>
        <v>0</v>
      </c>
    </row>
    <row r="214" spans="1:18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6" t="b">
        <f>ISNUMBER(financials[[#This Row],[Date]])</f>
        <v>1</v>
      </c>
      <c r="O214" s="8">
        <v>12</v>
      </c>
      <c r="P214" s="5" t="s">
        <v>81</v>
      </c>
      <c r="Q214" s="7" t="s">
        <v>14</v>
      </c>
      <c r="R214" s="5">
        <f t="shared" si="3"/>
        <v>0</v>
      </c>
    </row>
    <row r="215" spans="1:18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6" t="b">
        <f>ISNUMBER(financials[[#This Row],[Date]])</f>
        <v>1</v>
      </c>
      <c r="O215" s="8">
        <v>10</v>
      </c>
      <c r="P215" s="5" t="s">
        <v>79</v>
      </c>
      <c r="Q215" s="7" t="s">
        <v>14</v>
      </c>
      <c r="R215" s="5">
        <f t="shared" si="3"/>
        <v>0</v>
      </c>
    </row>
    <row r="216" spans="1:18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6" t="b">
        <f>ISNUMBER(financials[[#This Row],[Date]])</f>
        <v>1</v>
      </c>
      <c r="O216" s="8">
        <v>1</v>
      </c>
      <c r="P216" s="5" t="s">
        <v>76</v>
      </c>
      <c r="Q216" s="7" t="s">
        <v>15</v>
      </c>
      <c r="R216" s="5">
        <f t="shared" si="3"/>
        <v>0</v>
      </c>
    </row>
    <row r="217" spans="1:18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6" t="b">
        <f>ISNUMBER(financials[[#This Row],[Date]])</f>
        <v>1</v>
      </c>
      <c r="O217" s="8">
        <v>9</v>
      </c>
      <c r="P217" s="5" t="s">
        <v>78</v>
      </c>
      <c r="Q217" s="7" t="s">
        <v>14</v>
      </c>
      <c r="R217" s="5">
        <f t="shared" si="3"/>
        <v>0</v>
      </c>
    </row>
    <row r="218" spans="1:18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6" t="b">
        <f>ISNUMBER(financials[[#This Row],[Date]])</f>
        <v>1</v>
      </c>
      <c r="O218" s="8">
        <v>10</v>
      </c>
      <c r="P218" s="5" t="s">
        <v>79</v>
      </c>
      <c r="Q218" s="7" t="s">
        <v>15</v>
      </c>
      <c r="R218" s="5">
        <f t="shared" si="3"/>
        <v>0</v>
      </c>
    </row>
    <row r="219" spans="1:18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6" t="b">
        <f>ISNUMBER(financials[[#This Row],[Date]])</f>
        <v>1</v>
      </c>
      <c r="O219" s="8">
        <v>12</v>
      </c>
      <c r="P219" s="5" t="s">
        <v>81</v>
      </c>
      <c r="Q219" s="7" t="s">
        <v>15</v>
      </c>
      <c r="R219" s="5">
        <f t="shared" si="3"/>
        <v>0</v>
      </c>
    </row>
    <row r="220" spans="1:18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6" t="b">
        <f>ISNUMBER(financials[[#This Row],[Date]])</f>
        <v>1</v>
      </c>
      <c r="O220" s="8">
        <v>12</v>
      </c>
      <c r="P220" s="5" t="s">
        <v>81</v>
      </c>
      <c r="Q220" s="7" t="s">
        <v>15</v>
      </c>
      <c r="R220" s="5">
        <f t="shared" si="3"/>
        <v>0</v>
      </c>
    </row>
    <row r="221" spans="1:18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6" t="b">
        <f>ISNUMBER(financials[[#This Row],[Date]])</f>
        <v>1</v>
      </c>
      <c r="O221" s="8">
        <v>10</v>
      </c>
      <c r="P221" s="5" t="s">
        <v>79</v>
      </c>
      <c r="Q221" s="7" t="s">
        <v>15</v>
      </c>
      <c r="R221" s="5">
        <f t="shared" si="3"/>
        <v>0</v>
      </c>
    </row>
    <row r="222" spans="1:18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6" t="b">
        <f>ISNUMBER(financials[[#This Row],[Date]])</f>
        <v>1</v>
      </c>
      <c r="O222" s="8">
        <v>7</v>
      </c>
      <c r="P222" s="5" t="s">
        <v>27</v>
      </c>
      <c r="Q222" s="7" t="s">
        <v>15</v>
      </c>
      <c r="R222" s="5">
        <f t="shared" si="3"/>
        <v>0</v>
      </c>
    </row>
    <row r="223" spans="1:18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6" t="b">
        <f>ISNUMBER(financials[[#This Row],[Date]])</f>
        <v>1</v>
      </c>
      <c r="O223" s="8">
        <v>8</v>
      </c>
      <c r="P223" s="5" t="s">
        <v>77</v>
      </c>
      <c r="Q223" s="7" t="s">
        <v>15</v>
      </c>
      <c r="R223" s="5">
        <f t="shared" si="3"/>
        <v>0</v>
      </c>
    </row>
    <row r="224" spans="1:18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6" t="b">
        <f>ISNUMBER(financials[[#This Row],[Date]])</f>
        <v>1</v>
      </c>
      <c r="O224" s="8">
        <v>10</v>
      </c>
      <c r="P224" s="5" t="s">
        <v>79</v>
      </c>
      <c r="Q224" s="7" t="s">
        <v>14</v>
      </c>
      <c r="R224" s="5">
        <f t="shared" si="3"/>
        <v>0</v>
      </c>
    </row>
    <row r="225" spans="1:18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6" t="b">
        <f>ISNUMBER(financials[[#This Row],[Date]])</f>
        <v>1</v>
      </c>
      <c r="O225" s="8">
        <v>2</v>
      </c>
      <c r="P225" s="5" t="s">
        <v>75</v>
      </c>
      <c r="Q225" s="7" t="s">
        <v>15</v>
      </c>
      <c r="R225" s="5">
        <f t="shared" si="3"/>
        <v>0</v>
      </c>
    </row>
    <row r="226" spans="1:18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6" t="b">
        <f>ISNUMBER(financials[[#This Row],[Date]])</f>
        <v>1</v>
      </c>
      <c r="O226" s="8">
        <v>2</v>
      </c>
      <c r="P226" s="5" t="s">
        <v>75</v>
      </c>
      <c r="Q226" s="7" t="s">
        <v>15</v>
      </c>
      <c r="R226" s="5">
        <f t="shared" si="3"/>
        <v>0</v>
      </c>
    </row>
    <row r="227" spans="1:18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6" t="b">
        <f>ISNUMBER(financials[[#This Row],[Date]])</f>
        <v>1</v>
      </c>
      <c r="O227" s="8">
        <v>5</v>
      </c>
      <c r="P227" s="5" t="s">
        <v>25</v>
      </c>
      <c r="Q227" s="7" t="s">
        <v>15</v>
      </c>
      <c r="R227" s="5">
        <f t="shared" si="3"/>
        <v>0</v>
      </c>
    </row>
    <row r="228" spans="1:18" x14ac:dyDescent="0.3">
      <c r="A228" t="s">
        <v>7</v>
      </c>
      <c r="B228" t="s">
        <v>74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6" t="b">
        <f>ISNUMBER(financials[[#This Row],[Date]])</f>
        <v>1</v>
      </c>
      <c r="O228" s="8">
        <v>6</v>
      </c>
      <c r="P228" s="5" t="s">
        <v>26</v>
      </c>
      <c r="Q228" s="7" t="s">
        <v>15</v>
      </c>
      <c r="R228" s="5">
        <f t="shared" si="3"/>
        <v>0</v>
      </c>
    </row>
    <row r="229" spans="1:18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6" t="b">
        <f>ISNUMBER(financials[[#This Row],[Date]])</f>
        <v>1</v>
      </c>
      <c r="O229" s="8">
        <v>11</v>
      </c>
      <c r="P229" s="5" t="s">
        <v>80</v>
      </c>
      <c r="Q229" s="7" t="s">
        <v>14</v>
      </c>
      <c r="R229" s="5">
        <f t="shared" si="3"/>
        <v>0</v>
      </c>
    </row>
    <row r="230" spans="1:18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6" t="b">
        <f>ISNUMBER(financials[[#This Row],[Date]])</f>
        <v>1</v>
      </c>
      <c r="O230" s="8">
        <v>11</v>
      </c>
      <c r="P230" s="5" t="s">
        <v>80</v>
      </c>
      <c r="Q230" s="7" t="s">
        <v>15</v>
      </c>
      <c r="R230" s="5">
        <f t="shared" si="3"/>
        <v>0</v>
      </c>
    </row>
    <row r="231" spans="1:18" x14ac:dyDescent="0.3">
      <c r="A231" t="s">
        <v>10</v>
      </c>
      <c r="B231" t="s">
        <v>74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6" t="b">
        <f>ISNUMBER(financials[[#This Row],[Date]])</f>
        <v>1</v>
      </c>
      <c r="O231" s="8">
        <v>12</v>
      </c>
      <c r="P231" s="5" t="s">
        <v>81</v>
      </c>
      <c r="Q231" s="7" t="s">
        <v>15</v>
      </c>
      <c r="R231" s="5">
        <f t="shared" si="3"/>
        <v>0</v>
      </c>
    </row>
    <row r="232" spans="1:18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6" t="b">
        <f>ISNUMBER(financials[[#This Row],[Date]])</f>
        <v>1</v>
      </c>
      <c r="O232" s="8">
        <v>12</v>
      </c>
      <c r="P232" s="5" t="s">
        <v>81</v>
      </c>
      <c r="Q232" s="7" t="s">
        <v>15</v>
      </c>
      <c r="R232" s="5">
        <f t="shared" si="3"/>
        <v>0</v>
      </c>
    </row>
    <row r="233" spans="1:18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6" t="b">
        <f>ISNUMBER(financials[[#This Row],[Date]])</f>
        <v>1</v>
      </c>
      <c r="O233" s="8">
        <v>1</v>
      </c>
      <c r="P233" s="5" t="s">
        <v>76</v>
      </c>
      <c r="Q233" s="7" t="s">
        <v>15</v>
      </c>
      <c r="R233" s="5">
        <f t="shared" si="3"/>
        <v>0</v>
      </c>
    </row>
    <row r="234" spans="1:18" x14ac:dyDescent="0.3">
      <c r="A234" t="s">
        <v>9</v>
      </c>
      <c r="B234" t="s">
        <v>74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6" t="b">
        <f>ISNUMBER(financials[[#This Row],[Date]])</f>
        <v>1</v>
      </c>
      <c r="O234" s="8">
        <v>7</v>
      </c>
      <c r="P234" s="5" t="s">
        <v>27</v>
      </c>
      <c r="Q234" s="7" t="s">
        <v>15</v>
      </c>
      <c r="R234" s="5">
        <f t="shared" si="3"/>
        <v>0</v>
      </c>
    </row>
    <row r="235" spans="1:18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6" t="b">
        <f>ISNUMBER(financials[[#This Row],[Date]])</f>
        <v>1</v>
      </c>
      <c r="O235" s="8">
        <v>9</v>
      </c>
      <c r="P235" s="5" t="s">
        <v>78</v>
      </c>
      <c r="Q235" s="7" t="s">
        <v>14</v>
      </c>
      <c r="R235" s="5">
        <f t="shared" si="3"/>
        <v>0</v>
      </c>
    </row>
    <row r="236" spans="1:18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6" t="b">
        <f>ISNUMBER(financials[[#This Row],[Date]])</f>
        <v>1</v>
      </c>
      <c r="O236" s="8">
        <v>11</v>
      </c>
      <c r="P236" s="5" t="s">
        <v>80</v>
      </c>
      <c r="Q236" s="7" t="s">
        <v>15</v>
      </c>
      <c r="R236" s="5">
        <f t="shared" si="3"/>
        <v>0</v>
      </c>
    </row>
    <row r="237" spans="1:18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6" t="b">
        <f>ISNUMBER(financials[[#This Row],[Date]])</f>
        <v>1</v>
      </c>
      <c r="O237" s="8">
        <v>12</v>
      </c>
      <c r="P237" s="5" t="s">
        <v>81</v>
      </c>
      <c r="Q237" s="7" t="s">
        <v>14</v>
      </c>
      <c r="R237" s="5">
        <f t="shared" si="3"/>
        <v>0</v>
      </c>
    </row>
    <row r="238" spans="1:18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6" t="b">
        <f>ISNUMBER(financials[[#This Row],[Date]])</f>
        <v>1</v>
      </c>
      <c r="O238" s="8">
        <v>2</v>
      </c>
      <c r="P238" s="5" t="s">
        <v>75</v>
      </c>
      <c r="Q238" s="7" t="s">
        <v>15</v>
      </c>
      <c r="R238" s="5">
        <f t="shared" si="3"/>
        <v>0</v>
      </c>
    </row>
    <row r="239" spans="1:18" x14ac:dyDescent="0.3">
      <c r="A239" t="s">
        <v>9</v>
      </c>
      <c r="B239" t="s">
        <v>74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6" t="b">
        <f>ISNUMBER(financials[[#This Row],[Date]])</f>
        <v>1</v>
      </c>
      <c r="O239" s="8">
        <v>3</v>
      </c>
      <c r="P239" s="5" t="s">
        <v>82</v>
      </c>
      <c r="Q239" s="7" t="s">
        <v>15</v>
      </c>
      <c r="R239" s="5">
        <f t="shared" si="3"/>
        <v>0</v>
      </c>
    </row>
    <row r="240" spans="1:18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6" t="b">
        <f>ISNUMBER(financials[[#This Row],[Date]])</f>
        <v>1</v>
      </c>
      <c r="O240" s="8">
        <v>3</v>
      </c>
      <c r="P240" s="5" t="s">
        <v>82</v>
      </c>
      <c r="Q240" s="7" t="s">
        <v>15</v>
      </c>
      <c r="R240" s="5">
        <f t="shared" si="3"/>
        <v>0</v>
      </c>
    </row>
    <row r="241" spans="1:18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6" t="b">
        <f>ISNUMBER(financials[[#This Row],[Date]])</f>
        <v>1</v>
      </c>
      <c r="O241" s="8">
        <v>4</v>
      </c>
      <c r="P241" s="5" t="s">
        <v>24</v>
      </c>
      <c r="Q241" s="7" t="s">
        <v>15</v>
      </c>
      <c r="R241" s="5">
        <f t="shared" si="3"/>
        <v>0</v>
      </c>
    </row>
    <row r="242" spans="1:18" x14ac:dyDescent="0.3">
      <c r="A242" t="s">
        <v>10</v>
      </c>
      <c r="B242" t="s">
        <v>74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6" t="b">
        <f>ISNUMBER(financials[[#This Row],[Date]])</f>
        <v>1</v>
      </c>
      <c r="O242" s="8">
        <v>5</v>
      </c>
      <c r="P242" s="5" t="s">
        <v>25</v>
      </c>
      <c r="Q242" s="7" t="s">
        <v>15</v>
      </c>
      <c r="R242" s="5">
        <f t="shared" si="3"/>
        <v>0</v>
      </c>
    </row>
    <row r="243" spans="1:18" x14ac:dyDescent="0.3">
      <c r="A243" t="s">
        <v>7</v>
      </c>
      <c r="B243" t="s">
        <v>74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6" t="b">
        <f>ISNUMBER(financials[[#This Row],[Date]])</f>
        <v>1</v>
      </c>
      <c r="O243" s="8">
        <v>6</v>
      </c>
      <c r="P243" s="5" t="s">
        <v>26</v>
      </c>
      <c r="Q243" s="7" t="s">
        <v>15</v>
      </c>
      <c r="R243" s="5">
        <f t="shared" si="3"/>
        <v>0</v>
      </c>
    </row>
    <row r="244" spans="1:18" x14ac:dyDescent="0.3">
      <c r="A244" t="s">
        <v>10</v>
      </c>
      <c r="B244" t="s">
        <v>74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6" t="b">
        <f>ISNUMBER(financials[[#This Row],[Date]])</f>
        <v>1</v>
      </c>
      <c r="O244" s="8">
        <v>6</v>
      </c>
      <c r="P244" s="5" t="s">
        <v>26</v>
      </c>
      <c r="Q244" s="7" t="s">
        <v>15</v>
      </c>
      <c r="R244" s="5">
        <f t="shared" si="3"/>
        <v>0</v>
      </c>
    </row>
    <row r="245" spans="1:18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6" t="b">
        <f>ISNUMBER(financials[[#This Row],[Date]])</f>
        <v>1</v>
      </c>
      <c r="O245" s="8">
        <v>9</v>
      </c>
      <c r="P245" s="5" t="s">
        <v>78</v>
      </c>
      <c r="Q245" s="7" t="s">
        <v>15</v>
      </c>
      <c r="R245" s="5">
        <f t="shared" si="3"/>
        <v>0</v>
      </c>
    </row>
    <row r="246" spans="1:18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6" t="b">
        <f>ISNUMBER(financials[[#This Row],[Date]])</f>
        <v>1</v>
      </c>
      <c r="O246" s="8">
        <v>10</v>
      </c>
      <c r="P246" s="5" t="s">
        <v>79</v>
      </c>
      <c r="Q246" s="7" t="s">
        <v>14</v>
      </c>
      <c r="R246" s="5">
        <f t="shared" si="3"/>
        <v>0</v>
      </c>
    </row>
    <row r="247" spans="1:18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6" t="b">
        <f>ISNUMBER(financials[[#This Row],[Date]])</f>
        <v>1</v>
      </c>
      <c r="O247" s="8">
        <v>10</v>
      </c>
      <c r="P247" s="5" t="s">
        <v>79</v>
      </c>
      <c r="Q247" s="7" t="s">
        <v>14</v>
      </c>
      <c r="R247" s="5">
        <f t="shared" si="3"/>
        <v>0</v>
      </c>
    </row>
    <row r="248" spans="1:18" x14ac:dyDescent="0.3">
      <c r="A248" t="s">
        <v>9</v>
      </c>
      <c r="B248" t="s">
        <v>74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6" t="b">
        <f>ISNUMBER(financials[[#This Row],[Date]])</f>
        <v>1</v>
      </c>
      <c r="O248" s="8">
        <v>10</v>
      </c>
      <c r="P248" s="5" t="s">
        <v>79</v>
      </c>
      <c r="Q248" s="7" t="s">
        <v>15</v>
      </c>
      <c r="R248" s="5">
        <f t="shared" si="3"/>
        <v>0</v>
      </c>
    </row>
    <row r="249" spans="1:18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6" t="b">
        <f>ISNUMBER(financials[[#This Row],[Date]])</f>
        <v>1</v>
      </c>
      <c r="O249" s="8">
        <v>10</v>
      </c>
      <c r="P249" s="5" t="s">
        <v>79</v>
      </c>
      <c r="Q249" s="7" t="s">
        <v>14</v>
      </c>
      <c r="R249" s="5">
        <f t="shared" si="3"/>
        <v>0</v>
      </c>
    </row>
    <row r="250" spans="1:18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6" t="b">
        <f>ISNUMBER(financials[[#This Row],[Date]])</f>
        <v>1</v>
      </c>
      <c r="O250" s="8">
        <v>12</v>
      </c>
      <c r="P250" s="5" t="s">
        <v>81</v>
      </c>
      <c r="Q250" s="7" t="s">
        <v>14</v>
      </c>
      <c r="R250" s="5">
        <f t="shared" si="3"/>
        <v>0</v>
      </c>
    </row>
    <row r="251" spans="1:18" x14ac:dyDescent="0.3">
      <c r="A251" t="s">
        <v>10</v>
      </c>
      <c r="B251" t="s">
        <v>74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6" t="b">
        <f>ISNUMBER(financials[[#This Row],[Date]])</f>
        <v>1</v>
      </c>
      <c r="O251" s="8">
        <v>12</v>
      </c>
      <c r="P251" s="5" t="s">
        <v>81</v>
      </c>
      <c r="Q251" s="7" t="s">
        <v>15</v>
      </c>
      <c r="R251" s="5">
        <f t="shared" si="3"/>
        <v>0</v>
      </c>
    </row>
    <row r="252" spans="1:18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6" t="b">
        <f>ISNUMBER(financials[[#This Row],[Date]])</f>
        <v>1</v>
      </c>
      <c r="O252" s="8">
        <v>12</v>
      </c>
      <c r="P252" s="5" t="s">
        <v>81</v>
      </c>
      <c r="Q252" s="7" t="s">
        <v>14</v>
      </c>
      <c r="R252" s="5">
        <f t="shared" si="3"/>
        <v>0</v>
      </c>
    </row>
    <row r="253" spans="1:18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6" t="b">
        <f>ISNUMBER(financials[[#This Row],[Date]])</f>
        <v>1</v>
      </c>
      <c r="O253" s="8">
        <v>12</v>
      </c>
      <c r="P253" s="5" t="s">
        <v>81</v>
      </c>
      <c r="Q253" s="7" t="s">
        <v>14</v>
      </c>
      <c r="R253" s="5">
        <f t="shared" si="3"/>
        <v>0</v>
      </c>
    </row>
    <row r="254" spans="1:18" x14ac:dyDescent="0.3">
      <c r="A254" t="s">
        <v>8</v>
      </c>
      <c r="B254" t="s">
        <v>74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6" t="b">
        <f>ISNUMBER(financials[[#This Row],[Date]])</f>
        <v>1</v>
      </c>
      <c r="O254" s="8">
        <v>1</v>
      </c>
      <c r="P254" s="5" t="s">
        <v>76</v>
      </c>
      <c r="Q254" s="7" t="s">
        <v>15</v>
      </c>
      <c r="R254" s="5">
        <f t="shared" si="3"/>
        <v>0</v>
      </c>
    </row>
    <row r="255" spans="1:18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6" t="b">
        <f>ISNUMBER(financials[[#This Row],[Date]])</f>
        <v>1</v>
      </c>
      <c r="O255" s="8">
        <v>1</v>
      </c>
      <c r="P255" s="5" t="s">
        <v>76</v>
      </c>
      <c r="Q255" s="7" t="s">
        <v>15</v>
      </c>
      <c r="R255" s="5">
        <f t="shared" si="3"/>
        <v>0</v>
      </c>
    </row>
    <row r="256" spans="1:18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6" t="b">
        <f>ISNUMBER(financials[[#This Row],[Date]])</f>
        <v>1</v>
      </c>
      <c r="O256" s="8">
        <v>2</v>
      </c>
      <c r="P256" s="5" t="s">
        <v>75</v>
      </c>
      <c r="Q256" s="7" t="s">
        <v>15</v>
      </c>
      <c r="R256" s="5">
        <f t="shared" si="3"/>
        <v>0</v>
      </c>
    </row>
    <row r="257" spans="1:18" x14ac:dyDescent="0.3">
      <c r="A257" t="s">
        <v>10</v>
      </c>
      <c r="B257" t="s">
        <v>74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6" t="b">
        <f>ISNUMBER(financials[[#This Row],[Date]])</f>
        <v>1</v>
      </c>
      <c r="O257" s="8">
        <v>6</v>
      </c>
      <c r="P257" s="5" t="s">
        <v>26</v>
      </c>
      <c r="Q257" s="7" t="s">
        <v>15</v>
      </c>
      <c r="R257" s="5">
        <f t="shared" si="3"/>
        <v>0</v>
      </c>
    </row>
    <row r="258" spans="1:18" x14ac:dyDescent="0.3">
      <c r="A258" t="s">
        <v>10</v>
      </c>
      <c r="B258" t="s">
        <v>74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6" t="b">
        <f>ISNUMBER(financials[[#This Row],[Date]])</f>
        <v>1</v>
      </c>
      <c r="O258" s="8">
        <v>8</v>
      </c>
      <c r="P258" s="5" t="s">
        <v>77</v>
      </c>
      <c r="Q258" s="7" t="s">
        <v>15</v>
      </c>
      <c r="R258" s="5">
        <f t="shared" ref="R258:R321" si="4">COUNTIFS(A:A,A258,B:B,B258,C:C,C258,D:D,D258,E:E,E258,F:F,F258,G:G,G258,H:H,H258,I:I,I258,J:J,J258,K:K,K258,L:L,L258,M:M,M258,N:N,O258,O:O,P258,P:P,Q258)</f>
        <v>0</v>
      </c>
    </row>
    <row r="259" spans="1:18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6" t="b">
        <f>ISNUMBER(financials[[#This Row],[Date]])</f>
        <v>1</v>
      </c>
      <c r="O259" s="8">
        <v>8</v>
      </c>
      <c r="P259" s="5" t="s">
        <v>77</v>
      </c>
      <c r="Q259" s="7" t="s">
        <v>15</v>
      </c>
      <c r="R259" s="5">
        <f t="shared" si="4"/>
        <v>0</v>
      </c>
    </row>
    <row r="260" spans="1:18" x14ac:dyDescent="0.3">
      <c r="A260" t="s">
        <v>9</v>
      </c>
      <c r="B260" t="s">
        <v>74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6" t="b">
        <f>ISNUMBER(financials[[#This Row],[Date]])</f>
        <v>1</v>
      </c>
      <c r="O260" s="8">
        <v>10</v>
      </c>
      <c r="P260" s="5" t="s">
        <v>79</v>
      </c>
      <c r="Q260" s="7" t="s">
        <v>15</v>
      </c>
      <c r="R260" s="5">
        <f t="shared" si="4"/>
        <v>0</v>
      </c>
    </row>
    <row r="261" spans="1:18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6" t="b">
        <f>ISNUMBER(financials[[#This Row],[Date]])</f>
        <v>1</v>
      </c>
      <c r="O261" s="8">
        <v>10</v>
      </c>
      <c r="P261" s="5" t="s">
        <v>79</v>
      </c>
      <c r="Q261" s="7" t="s">
        <v>14</v>
      </c>
      <c r="R261" s="5">
        <f t="shared" si="4"/>
        <v>0</v>
      </c>
    </row>
    <row r="262" spans="1:18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6" t="b">
        <f>ISNUMBER(financials[[#This Row],[Date]])</f>
        <v>1</v>
      </c>
      <c r="O262" s="8">
        <v>12</v>
      </c>
      <c r="P262" s="5" t="s">
        <v>81</v>
      </c>
      <c r="Q262" s="7" t="s">
        <v>14</v>
      </c>
      <c r="R262" s="5">
        <f t="shared" si="4"/>
        <v>0</v>
      </c>
    </row>
    <row r="263" spans="1:18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6" t="b">
        <f>ISNUMBER(financials[[#This Row],[Date]])</f>
        <v>1</v>
      </c>
      <c r="O263" s="8">
        <v>12</v>
      </c>
      <c r="P263" s="5" t="s">
        <v>81</v>
      </c>
      <c r="Q263" s="7" t="s">
        <v>15</v>
      </c>
      <c r="R263" s="5">
        <f t="shared" si="4"/>
        <v>0</v>
      </c>
    </row>
    <row r="264" spans="1:18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6" t="b">
        <f>ISNUMBER(financials[[#This Row],[Date]])</f>
        <v>1</v>
      </c>
      <c r="O264" s="8">
        <v>10</v>
      </c>
      <c r="P264" s="5" t="s">
        <v>79</v>
      </c>
      <c r="Q264" s="7" t="s">
        <v>14</v>
      </c>
      <c r="R264" s="5">
        <f t="shared" si="4"/>
        <v>0</v>
      </c>
    </row>
    <row r="265" spans="1:18" x14ac:dyDescent="0.3">
      <c r="A265" t="s">
        <v>10</v>
      </c>
      <c r="B265" t="s">
        <v>74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6" t="b">
        <f>ISNUMBER(financials[[#This Row],[Date]])</f>
        <v>1</v>
      </c>
      <c r="O265" s="8">
        <v>11</v>
      </c>
      <c r="P265" s="5" t="s">
        <v>80</v>
      </c>
      <c r="Q265" s="7" t="s">
        <v>14</v>
      </c>
      <c r="R265" s="5">
        <f t="shared" si="4"/>
        <v>0</v>
      </c>
    </row>
    <row r="266" spans="1:18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6" t="b">
        <f>ISNUMBER(financials[[#This Row],[Date]])</f>
        <v>1</v>
      </c>
      <c r="O266" s="8">
        <v>11</v>
      </c>
      <c r="P266" s="5" t="s">
        <v>80</v>
      </c>
      <c r="Q266" s="7" t="s">
        <v>14</v>
      </c>
      <c r="R266" s="5">
        <f t="shared" si="4"/>
        <v>0</v>
      </c>
    </row>
    <row r="267" spans="1:18" x14ac:dyDescent="0.3">
      <c r="A267" t="s">
        <v>10</v>
      </c>
      <c r="B267" t="s">
        <v>74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6" t="b">
        <f>ISNUMBER(financials[[#This Row],[Date]])</f>
        <v>1</v>
      </c>
      <c r="O267" s="8">
        <v>12</v>
      </c>
      <c r="P267" s="5" t="s">
        <v>81</v>
      </c>
      <c r="Q267" s="7" t="s">
        <v>15</v>
      </c>
      <c r="R267" s="5">
        <f t="shared" si="4"/>
        <v>0</v>
      </c>
    </row>
    <row r="268" spans="1:18" x14ac:dyDescent="0.3">
      <c r="A268" t="s">
        <v>10</v>
      </c>
      <c r="B268" t="s">
        <v>74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6" t="b">
        <f>ISNUMBER(financials[[#This Row],[Date]])</f>
        <v>1</v>
      </c>
      <c r="O268" s="8">
        <v>12</v>
      </c>
      <c r="P268" s="5" t="s">
        <v>81</v>
      </c>
      <c r="Q268" s="7" t="s">
        <v>15</v>
      </c>
      <c r="R268" s="5">
        <f t="shared" si="4"/>
        <v>0</v>
      </c>
    </row>
    <row r="269" spans="1:18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6" t="b">
        <f>ISNUMBER(financials[[#This Row],[Date]])</f>
        <v>1</v>
      </c>
      <c r="O269" s="8">
        <v>12</v>
      </c>
      <c r="P269" s="5" t="s">
        <v>81</v>
      </c>
      <c r="Q269" s="7" t="s">
        <v>15</v>
      </c>
      <c r="R269" s="5">
        <f t="shared" si="4"/>
        <v>0</v>
      </c>
    </row>
    <row r="270" spans="1:18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6" t="b">
        <f>ISNUMBER(financials[[#This Row],[Date]])</f>
        <v>1</v>
      </c>
      <c r="O270" s="8">
        <v>2</v>
      </c>
      <c r="P270" s="5" t="s">
        <v>75</v>
      </c>
      <c r="Q270" s="7" t="s">
        <v>15</v>
      </c>
      <c r="R270" s="5">
        <f t="shared" si="4"/>
        <v>0</v>
      </c>
    </row>
    <row r="271" spans="1:18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6" t="b">
        <f>ISNUMBER(financials[[#This Row],[Date]])</f>
        <v>1</v>
      </c>
      <c r="O271" s="8">
        <v>8</v>
      </c>
      <c r="P271" s="5" t="s">
        <v>77</v>
      </c>
      <c r="Q271" s="7" t="s">
        <v>15</v>
      </c>
      <c r="R271" s="5">
        <f t="shared" si="4"/>
        <v>0</v>
      </c>
    </row>
    <row r="272" spans="1:18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6" t="b">
        <f>ISNUMBER(financials[[#This Row],[Date]])</f>
        <v>1</v>
      </c>
      <c r="O272" s="8">
        <v>10</v>
      </c>
      <c r="P272" s="5" t="s">
        <v>79</v>
      </c>
      <c r="Q272" s="7" t="s">
        <v>14</v>
      </c>
      <c r="R272" s="5">
        <f t="shared" si="4"/>
        <v>0</v>
      </c>
    </row>
    <row r="273" spans="1:18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6" t="b">
        <f>ISNUMBER(financials[[#This Row],[Date]])</f>
        <v>1</v>
      </c>
      <c r="O273" s="8">
        <v>12</v>
      </c>
      <c r="P273" s="5" t="s">
        <v>81</v>
      </c>
      <c r="Q273" s="7" t="s">
        <v>15</v>
      </c>
      <c r="R273" s="5">
        <f t="shared" si="4"/>
        <v>0</v>
      </c>
    </row>
    <row r="274" spans="1:18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6" t="b">
        <f>ISNUMBER(financials[[#This Row],[Date]])</f>
        <v>1</v>
      </c>
      <c r="O274" s="8">
        <v>4</v>
      </c>
      <c r="P274" s="5" t="s">
        <v>24</v>
      </c>
      <c r="Q274" s="7" t="s">
        <v>15</v>
      </c>
      <c r="R274" s="5">
        <f t="shared" si="4"/>
        <v>0</v>
      </c>
    </row>
    <row r="275" spans="1:18" x14ac:dyDescent="0.3">
      <c r="A275" t="s">
        <v>10</v>
      </c>
      <c r="B275" t="s">
        <v>74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6" t="b">
        <f>ISNUMBER(financials[[#This Row],[Date]])</f>
        <v>1</v>
      </c>
      <c r="O275" s="8">
        <v>1</v>
      </c>
      <c r="P275" s="5" t="s">
        <v>76</v>
      </c>
      <c r="Q275" s="7" t="s">
        <v>15</v>
      </c>
      <c r="R275" s="5">
        <f t="shared" si="4"/>
        <v>0</v>
      </c>
    </row>
    <row r="276" spans="1:18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6" t="b">
        <f>ISNUMBER(financials[[#This Row],[Date]])</f>
        <v>1</v>
      </c>
      <c r="O276" s="8">
        <v>6</v>
      </c>
      <c r="P276" s="5" t="s">
        <v>26</v>
      </c>
      <c r="Q276" s="7" t="s">
        <v>15</v>
      </c>
      <c r="R276" s="5">
        <f t="shared" si="4"/>
        <v>0</v>
      </c>
    </row>
    <row r="277" spans="1:18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6" t="b">
        <f>ISNUMBER(financials[[#This Row],[Date]])</f>
        <v>1</v>
      </c>
      <c r="O277" s="8">
        <v>9</v>
      </c>
      <c r="P277" s="5" t="s">
        <v>78</v>
      </c>
      <c r="Q277" s="7" t="s">
        <v>15</v>
      </c>
      <c r="R277" s="5">
        <f t="shared" si="4"/>
        <v>0</v>
      </c>
    </row>
    <row r="278" spans="1:18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6" t="b">
        <f>ISNUMBER(financials[[#This Row],[Date]])</f>
        <v>1</v>
      </c>
      <c r="O278" s="8">
        <v>10</v>
      </c>
      <c r="P278" s="5" t="s">
        <v>79</v>
      </c>
      <c r="Q278" s="7" t="s">
        <v>14</v>
      </c>
      <c r="R278" s="5">
        <f t="shared" si="4"/>
        <v>0</v>
      </c>
    </row>
    <row r="279" spans="1:18" x14ac:dyDescent="0.3">
      <c r="A279" t="s">
        <v>8</v>
      </c>
      <c r="B279" t="s">
        <v>74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6" t="b">
        <f>ISNUMBER(financials[[#This Row],[Date]])</f>
        <v>1</v>
      </c>
      <c r="O279" s="8">
        <v>11</v>
      </c>
      <c r="P279" s="5" t="s">
        <v>80</v>
      </c>
      <c r="Q279" s="7" t="s">
        <v>15</v>
      </c>
      <c r="R279" s="5">
        <f t="shared" si="4"/>
        <v>0</v>
      </c>
    </row>
    <row r="280" spans="1:18" x14ac:dyDescent="0.3">
      <c r="A280" t="s">
        <v>10</v>
      </c>
      <c r="B280" t="s">
        <v>74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6" t="b">
        <f>ISNUMBER(financials[[#This Row],[Date]])</f>
        <v>1</v>
      </c>
      <c r="O280" s="8">
        <v>11</v>
      </c>
      <c r="P280" s="5" t="s">
        <v>80</v>
      </c>
      <c r="Q280" s="7" t="s">
        <v>14</v>
      </c>
      <c r="R280" s="5">
        <f t="shared" si="4"/>
        <v>0</v>
      </c>
    </row>
    <row r="281" spans="1:18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6" t="b">
        <f>ISNUMBER(financials[[#This Row],[Date]])</f>
        <v>1</v>
      </c>
      <c r="O281" s="8">
        <v>12</v>
      </c>
      <c r="P281" s="5" t="s">
        <v>81</v>
      </c>
      <c r="Q281" s="7" t="s">
        <v>14</v>
      </c>
      <c r="R281" s="5">
        <f t="shared" si="4"/>
        <v>0</v>
      </c>
    </row>
    <row r="282" spans="1:18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6" t="b">
        <f>ISNUMBER(financials[[#This Row],[Date]])</f>
        <v>1</v>
      </c>
      <c r="O282" s="8">
        <v>4</v>
      </c>
      <c r="P282" s="5" t="s">
        <v>24</v>
      </c>
      <c r="Q282" s="7" t="s">
        <v>15</v>
      </c>
      <c r="R282" s="5">
        <f t="shared" si="4"/>
        <v>0</v>
      </c>
    </row>
    <row r="283" spans="1:18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6" t="b">
        <f>ISNUMBER(financials[[#This Row],[Date]])</f>
        <v>1</v>
      </c>
      <c r="O283" s="8">
        <v>5</v>
      </c>
      <c r="P283" s="5" t="s">
        <v>25</v>
      </c>
      <c r="Q283" s="7" t="s">
        <v>15</v>
      </c>
      <c r="R283" s="5">
        <f t="shared" si="4"/>
        <v>0</v>
      </c>
    </row>
    <row r="284" spans="1:18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6" t="b">
        <f>ISNUMBER(financials[[#This Row],[Date]])</f>
        <v>1</v>
      </c>
      <c r="O284" s="8">
        <v>10</v>
      </c>
      <c r="P284" s="5" t="s">
        <v>79</v>
      </c>
      <c r="Q284" s="7" t="s">
        <v>14</v>
      </c>
      <c r="R284" s="5">
        <f t="shared" si="4"/>
        <v>0</v>
      </c>
    </row>
    <row r="285" spans="1:18" x14ac:dyDescent="0.3">
      <c r="A285" t="s">
        <v>11</v>
      </c>
      <c r="B285" t="s">
        <v>74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6" t="b">
        <f>ISNUMBER(financials[[#This Row],[Date]])</f>
        <v>1</v>
      </c>
      <c r="O285" s="8">
        <v>11</v>
      </c>
      <c r="P285" s="5" t="s">
        <v>80</v>
      </c>
      <c r="Q285" s="7" t="s">
        <v>15</v>
      </c>
      <c r="R285" s="5">
        <f t="shared" si="4"/>
        <v>0</v>
      </c>
    </row>
    <row r="286" spans="1:18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6" t="b">
        <f>ISNUMBER(financials[[#This Row],[Date]])</f>
        <v>1</v>
      </c>
      <c r="O286" s="8">
        <v>6</v>
      </c>
      <c r="P286" s="5" t="s">
        <v>26</v>
      </c>
      <c r="Q286" s="7" t="s">
        <v>15</v>
      </c>
      <c r="R286" s="5">
        <f t="shared" si="4"/>
        <v>0</v>
      </c>
    </row>
    <row r="287" spans="1:18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6" t="b">
        <f>ISNUMBER(financials[[#This Row],[Date]])</f>
        <v>1</v>
      </c>
      <c r="O287" s="8">
        <v>10</v>
      </c>
      <c r="P287" s="5" t="s">
        <v>79</v>
      </c>
      <c r="Q287" s="7" t="s">
        <v>14</v>
      </c>
      <c r="R287" s="5">
        <f t="shared" si="4"/>
        <v>0</v>
      </c>
    </row>
    <row r="288" spans="1:18" x14ac:dyDescent="0.3">
      <c r="A288" t="s">
        <v>10</v>
      </c>
      <c r="B288" t="s">
        <v>74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6" t="b">
        <f>ISNUMBER(financials[[#This Row],[Date]])</f>
        <v>1</v>
      </c>
      <c r="O288" s="8">
        <v>10</v>
      </c>
      <c r="P288" s="5" t="s">
        <v>79</v>
      </c>
      <c r="Q288" s="7" t="s">
        <v>14</v>
      </c>
      <c r="R288" s="5">
        <f t="shared" si="4"/>
        <v>0</v>
      </c>
    </row>
    <row r="289" spans="1:18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6" t="b">
        <f>ISNUMBER(financials[[#This Row],[Date]])</f>
        <v>1</v>
      </c>
      <c r="O289" s="8">
        <v>2</v>
      </c>
      <c r="P289" s="5" t="s">
        <v>75</v>
      </c>
      <c r="Q289" s="7" t="s">
        <v>15</v>
      </c>
      <c r="R289" s="5">
        <f t="shared" si="4"/>
        <v>0</v>
      </c>
    </row>
    <row r="290" spans="1:18" x14ac:dyDescent="0.3">
      <c r="A290" t="s">
        <v>9</v>
      </c>
      <c r="B290" t="s">
        <v>74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6" t="b">
        <f>ISNUMBER(financials[[#This Row],[Date]])</f>
        <v>1</v>
      </c>
      <c r="O290" s="8">
        <v>2</v>
      </c>
      <c r="P290" s="5" t="s">
        <v>75</v>
      </c>
      <c r="Q290" s="7" t="s">
        <v>15</v>
      </c>
      <c r="R290" s="5">
        <f t="shared" si="4"/>
        <v>0</v>
      </c>
    </row>
    <row r="291" spans="1:18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6" t="b">
        <f>ISNUMBER(financials[[#This Row],[Date]])</f>
        <v>1</v>
      </c>
      <c r="O291" s="8">
        <v>5</v>
      </c>
      <c r="P291" s="5" t="s">
        <v>25</v>
      </c>
      <c r="Q291" s="7" t="s">
        <v>15</v>
      </c>
      <c r="R291" s="5">
        <f t="shared" si="4"/>
        <v>0</v>
      </c>
    </row>
    <row r="292" spans="1:18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6" t="b">
        <f>ISNUMBER(financials[[#This Row],[Date]])</f>
        <v>1</v>
      </c>
      <c r="O292" s="8">
        <v>6</v>
      </c>
      <c r="P292" s="5" t="s">
        <v>26</v>
      </c>
      <c r="Q292" s="7" t="s">
        <v>15</v>
      </c>
      <c r="R292" s="5">
        <f t="shared" si="4"/>
        <v>0</v>
      </c>
    </row>
    <row r="293" spans="1:18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6" t="b">
        <f>ISNUMBER(financials[[#This Row],[Date]])</f>
        <v>1</v>
      </c>
      <c r="O293" s="8">
        <v>6</v>
      </c>
      <c r="P293" s="5" t="s">
        <v>26</v>
      </c>
      <c r="Q293" s="7" t="s">
        <v>15</v>
      </c>
      <c r="R293" s="5">
        <f t="shared" si="4"/>
        <v>0</v>
      </c>
    </row>
    <row r="294" spans="1:18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6" t="b">
        <f>ISNUMBER(financials[[#This Row],[Date]])</f>
        <v>1</v>
      </c>
      <c r="O294" s="8">
        <v>10</v>
      </c>
      <c r="P294" s="5" t="s">
        <v>79</v>
      </c>
      <c r="Q294" s="7" t="s">
        <v>14</v>
      </c>
      <c r="R294" s="5">
        <f t="shared" si="4"/>
        <v>0</v>
      </c>
    </row>
    <row r="295" spans="1:18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6" t="b">
        <f>ISNUMBER(financials[[#This Row],[Date]])</f>
        <v>1</v>
      </c>
      <c r="O295" s="8">
        <v>10</v>
      </c>
      <c r="P295" s="5" t="s">
        <v>79</v>
      </c>
      <c r="Q295" s="7" t="s">
        <v>14</v>
      </c>
      <c r="R295" s="5">
        <f t="shared" si="4"/>
        <v>0</v>
      </c>
    </row>
    <row r="296" spans="1:18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6" t="b">
        <f>ISNUMBER(financials[[#This Row],[Date]])</f>
        <v>1</v>
      </c>
      <c r="O296" s="8">
        <v>6</v>
      </c>
      <c r="P296" s="5" t="s">
        <v>26</v>
      </c>
      <c r="Q296" s="7" t="s">
        <v>15</v>
      </c>
      <c r="R296" s="5">
        <f t="shared" si="4"/>
        <v>0</v>
      </c>
    </row>
    <row r="297" spans="1:18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6" t="b">
        <f>ISNUMBER(financials[[#This Row],[Date]])</f>
        <v>1</v>
      </c>
      <c r="O297" s="8">
        <v>6</v>
      </c>
      <c r="P297" s="5" t="s">
        <v>26</v>
      </c>
      <c r="Q297" s="7" t="s">
        <v>15</v>
      </c>
      <c r="R297" s="5">
        <f t="shared" si="4"/>
        <v>0</v>
      </c>
    </row>
    <row r="298" spans="1:18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6" t="b">
        <f>ISNUMBER(financials[[#This Row],[Date]])</f>
        <v>1</v>
      </c>
      <c r="O298" s="8">
        <v>10</v>
      </c>
      <c r="P298" s="5" t="s">
        <v>79</v>
      </c>
      <c r="Q298" s="7" t="s">
        <v>14</v>
      </c>
      <c r="R298" s="5">
        <f t="shared" si="4"/>
        <v>0</v>
      </c>
    </row>
    <row r="299" spans="1:18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6" t="b">
        <f>ISNUMBER(financials[[#This Row],[Date]])</f>
        <v>1</v>
      </c>
      <c r="O299" s="8">
        <v>11</v>
      </c>
      <c r="P299" s="5" t="s">
        <v>80</v>
      </c>
      <c r="Q299" s="7" t="s">
        <v>14</v>
      </c>
      <c r="R299" s="5">
        <f t="shared" si="4"/>
        <v>0</v>
      </c>
    </row>
    <row r="300" spans="1:18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6" t="b">
        <f>ISNUMBER(financials[[#This Row],[Date]])</f>
        <v>1</v>
      </c>
      <c r="O300" s="8">
        <v>12</v>
      </c>
      <c r="P300" s="5" t="s">
        <v>81</v>
      </c>
      <c r="Q300" s="7" t="s">
        <v>14</v>
      </c>
      <c r="R300" s="5">
        <f t="shared" si="4"/>
        <v>0</v>
      </c>
    </row>
    <row r="301" spans="1:18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6" t="b">
        <f>ISNUMBER(financials[[#This Row],[Date]])</f>
        <v>1</v>
      </c>
      <c r="O301" s="8">
        <v>1</v>
      </c>
      <c r="P301" s="5" t="s">
        <v>76</v>
      </c>
      <c r="Q301" s="7" t="s">
        <v>15</v>
      </c>
      <c r="R301" s="5">
        <f t="shared" si="4"/>
        <v>0</v>
      </c>
    </row>
    <row r="302" spans="1:18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6" t="b">
        <f>ISNUMBER(financials[[#This Row],[Date]])</f>
        <v>1</v>
      </c>
      <c r="O302" s="8">
        <v>9</v>
      </c>
      <c r="P302" s="5" t="s">
        <v>78</v>
      </c>
      <c r="Q302" s="7" t="s">
        <v>15</v>
      </c>
      <c r="R302" s="5">
        <f t="shared" si="4"/>
        <v>0</v>
      </c>
    </row>
    <row r="303" spans="1:18" x14ac:dyDescent="0.3">
      <c r="A303" t="s">
        <v>10</v>
      </c>
      <c r="B303" t="s">
        <v>74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6" t="b">
        <f>ISNUMBER(financials[[#This Row],[Date]])</f>
        <v>1</v>
      </c>
      <c r="O303" s="8">
        <v>10</v>
      </c>
      <c r="P303" s="5" t="s">
        <v>79</v>
      </c>
      <c r="Q303" s="7" t="s">
        <v>14</v>
      </c>
      <c r="R303" s="5">
        <f t="shared" si="4"/>
        <v>0</v>
      </c>
    </row>
    <row r="304" spans="1:18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6" t="b">
        <f>ISNUMBER(financials[[#This Row],[Date]])</f>
        <v>1</v>
      </c>
      <c r="O304" s="8">
        <v>10</v>
      </c>
      <c r="P304" s="5" t="s">
        <v>79</v>
      </c>
      <c r="Q304" s="7" t="s">
        <v>14</v>
      </c>
      <c r="R304" s="5">
        <f t="shared" si="4"/>
        <v>0</v>
      </c>
    </row>
    <row r="305" spans="1:18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6" t="b">
        <f>ISNUMBER(financials[[#This Row],[Date]])</f>
        <v>1</v>
      </c>
      <c r="O305" s="8">
        <v>10</v>
      </c>
      <c r="P305" s="5" t="s">
        <v>79</v>
      </c>
      <c r="Q305" s="7" t="s">
        <v>14</v>
      </c>
      <c r="R305" s="5">
        <f t="shared" si="4"/>
        <v>0</v>
      </c>
    </row>
    <row r="306" spans="1:18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6" t="b">
        <f>ISNUMBER(financials[[#This Row],[Date]])</f>
        <v>1</v>
      </c>
      <c r="O306" s="8">
        <v>10</v>
      </c>
      <c r="P306" s="5" t="s">
        <v>79</v>
      </c>
      <c r="Q306" s="7" t="s">
        <v>14</v>
      </c>
      <c r="R306" s="5">
        <f t="shared" si="4"/>
        <v>0</v>
      </c>
    </row>
    <row r="307" spans="1:18" x14ac:dyDescent="0.3">
      <c r="A307" t="s">
        <v>8</v>
      </c>
      <c r="B307" t="s">
        <v>74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6" t="b">
        <f>ISNUMBER(financials[[#This Row],[Date]])</f>
        <v>1</v>
      </c>
      <c r="O307" s="8">
        <v>8</v>
      </c>
      <c r="P307" s="5" t="s">
        <v>77</v>
      </c>
      <c r="Q307" s="7" t="s">
        <v>15</v>
      </c>
      <c r="R307" s="5">
        <f t="shared" si="4"/>
        <v>0</v>
      </c>
    </row>
    <row r="308" spans="1:18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6" t="b">
        <f>ISNUMBER(financials[[#This Row],[Date]])</f>
        <v>1</v>
      </c>
      <c r="O308" s="8">
        <v>8</v>
      </c>
      <c r="P308" s="5" t="s">
        <v>77</v>
      </c>
      <c r="Q308" s="7" t="s">
        <v>15</v>
      </c>
      <c r="R308" s="5">
        <f t="shared" si="4"/>
        <v>0</v>
      </c>
    </row>
    <row r="309" spans="1:18" x14ac:dyDescent="0.3">
      <c r="A309" t="s">
        <v>8</v>
      </c>
      <c r="B309" t="s">
        <v>74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6" t="b">
        <f>ISNUMBER(financials[[#This Row],[Date]])</f>
        <v>1</v>
      </c>
      <c r="O309" s="8">
        <v>10</v>
      </c>
      <c r="P309" s="5" t="s">
        <v>79</v>
      </c>
      <c r="Q309" s="7" t="s">
        <v>15</v>
      </c>
      <c r="R309" s="5">
        <f t="shared" si="4"/>
        <v>0</v>
      </c>
    </row>
    <row r="310" spans="1:18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6" t="b">
        <f>ISNUMBER(financials[[#This Row],[Date]])</f>
        <v>1</v>
      </c>
      <c r="O310" s="8">
        <v>10</v>
      </c>
      <c r="P310" s="5" t="s">
        <v>79</v>
      </c>
      <c r="Q310" s="7" t="s">
        <v>14</v>
      </c>
      <c r="R310" s="5">
        <f t="shared" si="4"/>
        <v>0</v>
      </c>
    </row>
    <row r="311" spans="1:18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6" t="b">
        <f>ISNUMBER(financials[[#This Row],[Date]])</f>
        <v>1</v>
      </c>
      <c r="O311" s="8">
        <v>8</v>
      </c>
      <c r="P311" s="5" t="s">
        <v>77</v>
      </c>
      <c r="Q311" s="7" t="s">
        <v>15</v>
      </c>
      <c r="R311" s="5">
        <f t="shared" si="4"/>
        <v>0</v>
      </c>
    </row>
    <row r="312" spans="1:18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6" t="b">
        <f>ISNUMBER(financials[[#This Row],[Date]])</f>
        <v>1</v>
      </c>
      <c r="O312" s="8">
        <v>11</v>
      </c>
      <c r="P312" s="5" t="s">
        <v>80</v>
      </c>
      <c r="Q312" s="7" t="s">
        <v>15</v>
      </c>
      <c r="R312" s="5">
        <f t="shared" si="4"/>
        <v>0</v>
      </c>
    </row>
    <row r="313" spans="1:18" x14ac:dyDescent="0.3">
      <c r="A313" t="s">
        <v>8</v>
      </c>
      <c r="B313" t="s">
        <v>74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6" t="b">
        <f>ISNUMBER(financials[[#This Row],[Date]])</f>
        <v>1</v>
      </c>
      <c r="O313" s="8">
        <v>10</v>
      </c>
      <c r="P313" s="5" t="s">
        <v>79</v>
      </c>
      <c r="Q313" s="7" t="s">
        <v>15</v>
      </c>
      <c r="R313" s="5">
        <f t="shared" si="4"/>
        <v>0</v>
      </c>
    </row>
    <row r="314" spans="1:18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6" t="b">
        <f>ISNUMBER(financials[[#This Row],[Date]])</f>
        <v>1</v>
      </c>
      <c r="O314" s="8">
        <v>2</v>
      </c>
      <c r="P314" s="5" t="s">
        <v>75</v>
      </c>
      <c r="Q314" s="7" t="s">
        <v>15</v>
      </c>
      <c r="R314" s="5">
        <f t="shared" si="4"/>
        <v>0</v>
      </c>
    </row>
    <row r="315" spans="1:18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6" t="b">
        <f>ISNUMBER(financials[[#This Row],[Date]])</f>
        <v>1</v>
      </c>
      <c r="O315" s="8">
        <v>8</v>
      </c>
      <c r="P315" s="5" t="s">
        <v>77</v>
      </c>
      <c r="Q315" s="7" t="s">
        <v>15</v>
      </c>
      <c r="R315" s="5">
        <f t="shared" si="4"/>
        <v>0</v>
      </c>
    </row>
    <row r="316" spans="1:18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6" t="b">
        <f>ISNUMBER(financials[[#This Row],[Date]])</f>
        <v>1</v>
      </c>
      <c r="O316" s="8">
        <v>9</v>
      </c>
      <c r="P316" s="5" t="s">
        <v>78</v>
      </c>
      <c r="Q316" s="7" t="s">
        <v>14</v>
      </c>
      <c r="R316" s="5">
        <f t="shared" si="4"/>
        <v>0</v>
      </c>
    </row>
    <row r="317" spans="1:18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6" t="b">
        <f>ISNUMBER(financials[[#This Row],[Date]])</f>
        <v>1</v>
      </c>
      <c r="O317" s="8">
        <v>1</v>
      </c>
      <c r="P317" s="5" t="s">
        <v>76</v>
      </c>
      <c r="Q317" s="7" t="s">
        <v>15</v>
      </c>
      <c r="R317" s="5">
        <f t="shared" si="4"/>
        <v>0</v>
      </c>
    </row>
    <row r="318" spans="1:18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6" t="b">
        <f>ISNUMBER(financials[[#This Row],[Date]])</f>
        <v>1</v>
      </c>
      <c r="O318" s="8">
        <v>11</v>
      </c>
      <c r="P318" s="5" t="s">
        <v>80</v>
      </c>
      <c r="Q318" s="7" t="s">
        <v>15</v>
      </c>
      <c r="R318" s="5">
        <f t="shared" si="4"/>
        <v>0</v>
      </c>
    </row>
    <row r="319" spans="1:18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6" t="b">
        <f>ISNUMBER(financials[[#This Row],[Date]])</f>
        <v>1</v>
      </c>
      <c r="O319" s="8">
        <v>9</v>
      </c>
      <c r="P319" s="5" t="s">
        <v>78</v>
      </c>
      <c r="Q319" s="7" t="s">
        <v>14</v>
      </c>
      <c r="R319" s="5">
        <f t="shared" si="4"/>
        <v>0</v>
      </c>
    </row>
    <row r="320" spans="1:18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6" t="b">
        <f>ISNUMBER(financials[[#This Row],[Date]])</f>
        <v>1</v>
      </c>
      <c r="O320" s="8">
        <v>5</v>
      </c>
      <c r="P320" s="5" t="s">
        <v>25</v>
      </c>
      <c r="Q320" s="7" t="s">
        <v>15</v>
      </c>
      <c r="R320" s="5">
        <f t="shared" si="4"/>
        <v>0</v>
      </c>
    </row>
    <row r="321" spans="1:18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6" t="b">
        <f>ISNUMBER(financials[[#This Row],[Date]])</f>
        <v>1</v>
      </c>
      <c r="O321" s="8">
        <v>6</v>
      </c>
      <c r="P321" s="5" t="s">
        <v>26</v>
      </c>
      <c r="Q321" s="7" t="s">
        <v>15</v>
      </c>
      <c r="R321" s="5">
        <f t="shared" si="4"/>
        <v>0</v>
      </c>
    </row>
    <row r="322" spans="1:18" x14ac:dyDescent="0.3">
      <c r="A322" t="s">
        <v>10</v>
      </c>
      <c r="B322" t="s">
        <v>74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6" t="b">
        <f>ISNUMBER(financials[[#This Row],[Date]])</f>
        <v>1</v>
      </c>
      <c r="O322" s="8">
        <v>11</v>
      </c>
      <c r="P322" s="5" t="s">
        <v>80</v>
      </c>
      <c r="Q322" s="7" t="s">
        <v>15</v>
      </c>
      <c r="R322" s="5">
        <f t="shared" ref="R322:R385" si="5">COUNTIFS(A:A,A322,B:B,B322,C:C,C322,D:D,D322,E:E,E322,F:F,F322,G:G,G322,H:H,H322,I:I,I322,J:J,J322,K:K,K322,L:L,L322,M:M,M322,N:N,O322,O:O,P322,P:P,Q322)</f>
        <v>0</v>
      </c>
    </row>
    <row r="323" spans="1:18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6" t="b">
        <f>ISNUMBER(financials[[#This Row],[Date]])</f>
        <v>1</v>
      </c>
      <c r="O323" s="8">
        <v>12</v>
      </c>
      <c r="P323" s="5" t="s">
        <v>81</v>
      </c>
      <c r="Q323" s="7" t="s">
        <v>15</v>
      </c>
      <c r="R323" s="5">
        <f t="shared" si="5"/>
        <v>0</v>
      </c>
    </row>
    <row r="324" spans="1:18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6" t="b">
        <f>ISNUMBER(financials[[#This Row],[Date]])</f>
        <v>1</v>
      </c>
      <c r="O324" s="8">
        <v>4</v>
      </c>
      <c r="P324" s="5" t="s">
        <v>24</v>
      </c>
      <c r="Q324" s="7" t="s">
        <v>15</v>
      </c>
      <c r="R324" s="5">
        <f t="shared" si="5"/>
        <v>0</v>
      </c>
    </row>
    <row r="325" spans="1:18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6" t="b">
        <f>ISNUMBER(financials[[#This Row],[Date]])</f>
        <v>1</v>
      </c>
      <c r="O325" s="8">
        <v>9</v>
      </c>
      <c r="P325" s="5" t="s">
        <v>78</v>
      </c>
      <c r="Q325" s="7" t="s">
        <v>14</v>
      </c>
      <c r="R325" s="5">
        <f t="shared" si="5"/>
        <v>0</v>
      </c>
    </row>
    <row r="326" spans="1:18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6" t="b">
        <f>ISNUMBER(financials[[#This Row],[Date]])</f>
        <v>1</v>
      </c>
      <c r="O326" s="8">
        <v>12</v>
      </c>
      <c r="P326" s="5" t="s">
        <v>81</v>
      </c>
      <c r="Q326" s="7" t="s">
        <v>15</v>
      </c>
      <c r="R326" s="5">
        <f t="shared" si="5"/>
        <v>0</v>
      </c>
    </row>
    <row r="327" spans="1:18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6" t="b">
        <f>ISNUMBER(financials[[#This Row],[Date]])</f>
        <v>1</v>
      </c>
      <c r="O327" s="8">
        <v>6</v>
      </c>
      <c r="P327" s="5" t="s">
        <v>26</v>
      </c>
      <c r="Q327" s="7" t="s">
        <v>15</v>
      </c>
      <c r="R327" s="5">
        <f t="shared" si="5"/>
        <v>0</v>
      </c>
    </row>
    <row r="328" spans="1:18" x14ac:dyDescent="0.3">
      <c r="A328" t="s">
        <v>10</v>
      </c>
      <c r="B328" t="s">
        <v>74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6" t="b">
        <f>ISNUMBER(financials[[#This Row],[Date]])</f>
        <v>1</v>
      </c>
      <c r="O328" s="8">
        <v>3</v>
      </c>
      <c r="P328" s="5" t="s">
        <v>82</v>
      </c>
      <c r="Q328" s="7" t="s">
        <v>15</v>
      </c>
      <c r="R328" s="5">
        <f t="shared" si="5"/>
        <v>0</v>
      </c>
    </row>
    <row r="329" spans="1:18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6" t="b">
        <f>ISNUMBER(financials[[#This Row],[Date]])</f>
        <v>1</v>
      </c>
      <c r="O329" s="8">
        <v>6</v>
      </c>
      <c r="P329" s="5" t="s">
        <v>26</v>
      </c>
      <c r="Q329" s="7" t="s">
        <v>15</v>
      </c>
      <c r="R329" s="5">
        <f t="shared" si="5"/>
        <v>0</v>
      </c>
    </row>
    <row r="330" spans="1:18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6" t="b">
        <f>ISNUMBER(financials[[#This Row],[Date]])</f>
        <v>1</v>
      </c>
      <c r="O330" s="8">
        <v>10</v>
      </c>
      <c r="P330" s="5" t="s">
        <v>79</v>
      </c>
      <c r="Q330" s="7" t="s">
        <v>15</v>
      </c>
      <c r="R330" s="5">
        <f t="shared" si="5"/>
        <v>0</v>
      </c>
    </row>
    <row r="331" spans="1:18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6" t="b">
        <f>ISNUMBER(financials[[#This Row],[Date]])</f>
        <v>1</v>
      </c>
      <c r="O331" s="8">
        <v>10</v>
      </c>
      <c r="P331" s="5" t="s">
        <v>79</v>
      </c>
      <c r="Q331" s="7" t="s">
        <v>15</v>
      </c>
      <c r="R331" s="5">
        <f t="shared" si="5"/>
        <v>0</v>
      </c>
    </row>
    <row r="332" spans="1:18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6" t="b">
        <f>ISNUMBER(financials[[#This Row],[Date]])</f>
        <v>1</v>
      </c>
      <c r="O332" s="8">
        <v>10</v>
      </c>
      <c r="P332" s="5" t="s">
        <v>79</v>
      </c>
      <c r="Q332" s="7" t="s">
        <v>15</v>
      </c>
      <c r="R332" s="5">
        <f t="shared" si="5"/>
        <v>0</v>
      </c>
    </row>
    <row r="333" spans="1:18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6" t="b">
        <f>ISNUMBER(financials[[#This Row],[Date]])</f>
        <v>1</v>
      </c>
      <c r="O333" s="8">
        <v>11</v>
      </c>
      <c r="P333" s="5" t="s">
        <v>80</v>
      </c>
      <c r="Q333" s="7" t="s">
        <v>14</v>
      </c>
      <c r="R333" s="5">
        <f t="shared" si="5"/>
        <v>0</v>
      </c>
    </row>
    <row r="334" spans="1:18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6" t="b">
        <f>ISNUMBER(financials[[#This Row],[Date]])</f>
        <v>1</v>
      </c>
      <c r="O334" s="8">
        <v>5</v>
      </c>
      <c r="P334" s="5" t="s">
        <v>25</v>
      </c>
      <c r="Q334" s="7" t="s">
        <v>15</v>
      </c>
      <c r="R334" s="5">
        <f t="shared" si="5"/>
        <v>0</v>
      </c>
    </row>
    <row r="335" spans="1:18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6" t="b">
        <f>ISNUMBER(financials[[#This Row],[Date]])</f>
        <v>1</v>
      </c>
      <c r="O335" s="8">
        <v>6</v>
      </c>
      <c r="P335" s="5" t="s">
        <v>26</v>
      </c>
      <c r="Q335" s="7" t="s">
        <v>15</v>
      </c>
      <c r="R335" s="5">
        <f t="shared" si="5"/>
        <v>0</v>
      </c>
    </row>
    <row r="336" spans="1:18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6" t="b">
        <f>ISNUMBER(financials[[#This Row],[Date]])</f>
        <v>1</v>
      </c>
      <c r="O336" s="8">
        <v>7</v>
      </c>
      <c r="P336" s="5" t="s">
        <v>27</v>
      </c>
      <c r="Q336" s="7" t="s">
        <v>15</v>
      </c>
      <c r="R336" s="5">
        <f t="shared" si="5"/>
        <v>0</v>
      </c>
    </row>
    <row r="337" spans="1:18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6" t="b">
        <f>ISNUMBER(financials[[#This Row],[Date]])</f>
        <v>1</v>
      </c>
      <c r="O337" s="8">
        <v>8</v>
      </c>
      <c r="P337" s="5" t="s">
        <v>77</v>
      </c>
      <c r="Q337" s="7" t="s">
        <v>15</v>
      </c>
      <c r="R337" s="5">
        <f t="shared" si="5"/>
        <v>0</v>
      </c>
    </row>
    <row r="338" spans="1:18" x14ac:dyDescent="0.3">
      <c r="A338" t="s">
        <v>8</v>
      </c>
      <c r="B338" t="s">
        <v>74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6" t="b">
        <f>ISNUMBER(financials[[#This Row],[Date]])</f>
        <v>1</v>
      </c>
      <c r="O338" s="8">
        <v>9</v>
      </c>
      <c r="P338" s="5" t="s">
        <v>78</v>
      </c>
      <c r="Q338" s="7" t="s">
        <v>14</v>
      </c>
      <c r="R338" s="5">
        <f t="shared" si="5"/>
        <v>0</v>
      </c>
    </row>
    <row r="339" spans="1:18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6" t="b">
        <f>ISNUMBER(financials[[#This Row],[Date]])</f>
        <v>1</v>
      </c>
      <c r="O339" s="8">
        <v>9</v>
      </c>
      <c r="P339" s="5" t="s">
        <v>78</v>
      </c>
      <c r="Q339" s="7" t="s">
        <v>15</v>
      </c>
      <c r="R339" s="5">
        <f t="shared" si="5"/>
        <v>0</v>
      </c>
    </row>
    <row r="340" spans="1:18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6" t="b">
        <f>ISNUMBER(financials[[#This Row],[Date]])</f>
        <v>1</v>
      </c>
      <c r="O340" s="8">
        <v>9</v>
      </c>
      <c r="P340" s="5" t="s">
        <v>78</v>
      </c>
      <c r="Q340" s="7" t="s">
        <v>14</v>
      </c>
      <c r="R340" s="5">
        <f t="shared" si="5"/>
        <v>0</v>
      </c>
    </row>
    <row r="341" spans="1:18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6" t="b">
        <f>ISNUMBER(financials[[#This Row],[Date]])</f>
        <v>1</v>
      </c>
      <c r="O341" s="8">
        <v>11</v>
      </c>
      <c r="P341" s="5" t="s">
        <v>80</v>
      </c>
      <c r="Q341" s="7" t="s">
        <v>14</v>
      </c>
      <c r="R341" s="5">
        <f t="shared" si="5"/>
        <v>0</v>
      </c>
    </row>
    <row r="342" spans="1:18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6" t="b">
        <f>ISNUMBER(financials[[#This Row],[Date]])</f>
        <v>1</v>
      </c>
      <c r="O342" s="8">
        <v>11</v>
      </c>
      <c r="P342" s="5" t="s">
        <v>80</v>
      </c>
      <c r="Q342" s="7" t="s">
        <v>14</v>
      </c>
      <c r="R342" s="5">
        <f t="shared" si="5"/>
        <v>0</v>
      </c>
    </row>
    <row r="343" spans="1:18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6" t="b">
        <f>ISNUMBER(financials[[#This Row],[Date]])</f>
        <v>1</v>
      </c>
      <c r="O343" s="8">
        <v>12</v>
      </c>
      <c r="P343" s="5" t="s">
        <v>81</v>
      </c>
      <c r="Q343" s="7" t="s">
        <v>14</v>
      </c>
      <c r="R343" s="5">
        <f t="shared" si="5"/>
        <v>0</v>
      </c>
    </row>
    <row r="344" spans="1:18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6" t="b">
        <f>ISNUMBER(financials[[#This Row],[Date]])</f>
        <v>1</v>
      </c>
      <c r="O344" s="8">
        <v>7</v>
      </c>
      <c r="P344" s="5" t="s">
        <v>27</v>
      </c>
      <c r="Q344" s="7" t="s">
        <v>15</v>
      </c>
      <c r="R344" s="5">
        <f t="shared" si="5"/>
        <v>0</v>
      </c>
    </row>
    <row r="345" spans="1:18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6" t="b">
        <f>ISNUMBER(financials[[#This Row],[Date]])</f>
        <v>1</v>
      </c>
      <c r="O345" s="8">
        <v>8</v>
      </c>
      <c r="P345" s="5" t="s">
        <v>77</v>
      </c>
      <c r="Q345" s="7" t="s">
        <v>15</v>
      </c>
      <c r="R345" s="5">
        <f t="shared" si="5"/>
        <v>0</v>
      </c>
    </row>
    <row r="346" spans="1:18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6" t="b">
        <f>ISNUMBER(financials[[#This Row],[Date]])</f>
        <v>1</v>
      </c>
      <c r="O346" s="8">
        <v>9</v>
      </c>
      <c r="P346" s="5" t="s">
        <v>78</v>
      </c>
      <c r="Q346" s="7" t="s">
        <v>15</v>
      </c>
      <c r="R346" s="5">
        <f t="shared" si="5"/>
        <v>0</v>
      </c>
    </row>
    <row r="347" spans="1:18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6" t="b">
        <f>ISNUMBER(financials[[#This Row],[Date]])</f>
        <v>1</v>
      </c>
      <c r="O347" s="8">
        <v>10</v>
      </c>
      <c r="P347" s="5" t="s">
        <v>79</v>
      </c>
      <c r="Q347" s="7" t="s">
        <v>15</v>
      </c>
      <c r="R347" s="5">
        <f t="shared" si="5"/>
        <v>0</v>
      </c>
    </row>
    <row r="348" spans="1:18" x14ac:dyDescent="0.3">
      <c r="A348" t="s">
        <v>10</v>
      </c>
      <c r="B348" t="s">
        <v>74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6" t="b">
        <f>ISNUMBER(financials[[#This Row],[Date]])</f>
        <v>1</v>
      </c>
      <c r="O348" s="8">
        <v>12</v>
      </c>
      <c r="P348" s="5" t="s">
        <v>81</v>
      </c>
      <c r="Q348" s="7" t="s">
        <v>14</v>
      </c>
      <c r="R348" s="5">
        <f t="shared" si="5"/>
        <v>0</v>
      </c>
    </row>
    <row r="349" spans="1:18" x14ac:dyDescent="0.3">
      <c r="A349" t="s">
        <v>7</v>
      </c>
      <c r="B349" t="s">
        <v>74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6" t="b">
        <f>ISNUMBER(financials[[#This Row],[Date]])</f>
        <v>1</v>
      </c>
      <c r="O349" s="8">
        <v>12</v>
      </c>
      <c r="P349" s="5" t="s">
        <v>81</v>
      </c>
      <c r="Q349" s="7" t="s">
        <v>15</v>
      </c>
      <c r="R349" s="5">
        <f t="shared" si="5"/>
        <v>0</v>
      </c>
    </row>
    <row r="350" spans="1:18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6" t="b">
        <f>ISNUMBER(financials[[#This Row],[Date]])</f>
        <v>1</v>
      </c>
      <c r="O350" s="8">
        <v>12</v>
      </c>
      <c r="P350" s="5" t="s">
        <v>81</v>
      </c>
      <c r="Q350" s="7" t="s">
        <v>14</v>
      </c>
      <c r="R350" s="5">
        <f t="shared" si="5"/>
        <v>0</v>
      </c>
    </row>
    <row r="351" spans="1:18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6" t="b">
        <f>ISNUMBER(financials[[#This Row],[Date]])</f>
        <v>1</v>
      </c>
      <c r="O351" s="8">
        <v>1</v>
      </c>
      <c r="P351" s="5" t="s">
        <v>76</v>
      </c>
      <c r="Q351" s="7" t="s">
        <v>15</v>
      </c>
      <c r="R351" s="5">
        <f t="shared" si="5"/>
        <v>0</v>
      </c>
    </row>
    <row r="352" spans="1:18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6" t="b">
        <f>ISNUMBER(financials[[#This Row],[Date]])</f>
        <v>1</v>
      </c>
      <c r="O352" s="8">
        <v>2</v>
      </c>
      <c r="P352" s="5" t="s">
        <v>75</v>
      </c>
      <c r="Q352" s="7" t="s">
        <v>15</v>
      </c>
      <c r="R352" s="5">
        <f t="shared" si="5"/>
        <v>0</v>
      </c>
    </row>
    <row r="353" spans="1:18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6" t="b">
        <f>ISNUMBER(financials[[#This Row],[Date]])</f>
        <v>1</v>
      </c>
      <c r="O353" s="8">
        <v>2</v>
      </c>
      <c r="P353" s="5" t="s">
        <v>75</v>
      </c>
      <c r="Q353" s="7" t="s">
        <v>15</v>
      </c>
      <c r="R353" s="5">
        <f t="shared" si="5"/>
        <v>0</v>
      </c>
    </row>
    <row r="354" spans="1:18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6" t="b">
        <f>ISNUMBER(financials[[#This Row],[Date]])</f>
        <v>1</v>
      </c>
      <c r="O354" s="8">
        <v>5</v>
      </c>
      <c r="P354" s="5" t="s">
        <v>25</v>
      </c>
      <c r="Q354" s="7" t="s">
        <v>15</v>
      </c>
      <c r="R354" s="5">
        <f t="shared" si="5"/>
        <v>0</v>
      </c>
    </row>
    <row r="355" spans="1:18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6" t="b">
        <f>ISNUMBER(financials[[#This Row],[Date]])</f>
        <v>1</v>
      </c>
      <c r="O355" s="8">
        <v>9</v>
      </c>
      <c r="P355" s="5" t="s">
        <v>78</v>
      </c>
      <c r="Q355" s="7" t="s">
        <v>15</v>
      </c>
      <c r="R355" s="5">
        <f t="shared" si="5"/>
        <v>0</v>
      </c>
    </row>
    <row r="356" spans="1:18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6" t="b">
        <f>ISNUMBER(financials[[#This Row],[Date]])</f>
        <v>1</v>
      </c>
      <c r="O356" s="8">
        <v>9</v>
      </c>
      <c r="P356" s="5" t="s">
        <v>78</v>
      </c>
      <c r="Q356" s="7" t="s">
        <v>14</v>
      </c>
      <c r="R356" s="5">
        <f t="shared" si="5"/>
        <v>0</v>
      </c>
    </row>
    <row r="357" spans="1:18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6" t="b">
        <f>ISNUMBER(financials[[#This Row],[Date]])</f>
        <v>1</v>
      </c>
      <c r="O357" s="8">
        <v>11</v>
      </c>
      <c r="P357" s="5" t="s">
        <v>80</v>
      </c>
      <c r="Q357" s="7" t="s">
        <v>15</v>
      </c>
      <c r="R357" s="5">
        <f t="shared" si="5"/>
        <v>0</v>
      </c>
    </row>
    <row r="358" spans="1:18" x14ac:dyDescent="0.3">
      <c r="A358" t="s">
        <v>7</v>
      </c>
      <c r="B358" t="s">
        <v>74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6" t="b">
        <f>ISNUMBER(financials[[#This Row],[Date]])</f>
        <v>1</v>
      </c>
      <c r="O358" s="8">
        <v>12</v>
      </c>
      <c r="P358" s="5" t="s">
        <v>81</v>
      </c>
      <c r="Q358" s="7" t="s">
        <v>15</v>
      </c>
      <c r="R358" s="5">
        <f t="shared" si="5"/>
        <v>0</v>
      </c>
    </row>
    <row r="359" spans="1:18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6" t="b">
        <f>ISNUMBER(financials[[#This Row],[Date]])</f>
        <v>1</v>
      </c>
      <c r="O359" s="8">
        <v>2</v>
      </c>
      <c r="P359" s="5" t="s">
        <v>75</v>
      </c>
      <c r="Q359" s="7" t="s">
        <v>15</v>
      </c>
      <c r="R359" s="5">
        <f t="shared" si="5"/>
        <v>0</v>
      </c>
    </row>
    <row r="360" spans="1:18" x14ac:dyDescent="0.3">
      <c r="A360" t="s">
        <v>10</v>
      </c>
      <c r="B360" t="s">
        <v>74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6" t="b">
        <f>ISNUMBER(financials[[#This Row],[Date]])</f>
        <v>1</v>
      </c>
      <c r="O360" s="8">
        <v>6</v>
      </c>
      <c r="P360" s="5" t="s">
        <v>26</v>
      </c>
      <c r="Q360" s="7" t="s">
        <v>15</v>
      </c>
      <c r="R360" s="5">
        <f t="shared" si="5"/>
        <v>0</v>
      </c>
    </row>
    <row r="361" spans="1:18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6" t="b">
        <f>ISNUMBER(financials[[#This Row],[Date]])</f>
        <v>1</v>
      </c>
      <c r="O361" s="8">
        <v>5</v>
      </c>
      <c r="P361" s="5" t="s">
        <v>25</v>
      </c>
      <c r="Q361" s="7" t="s">
        <v>15</v>
      </c>
      <c r="R361" s="5">
        <f t="shared" si="5"/>
        <v>0</v>
      </c>
    </row>
    <row r="362" spans="1:18" x14ac:dyDescent="0.3">
      <c r="A362" t="s">
        <v>10</v>
      </c>
      <c r="B362" t="s">
        <v>74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6" t="b">
        <f>ISNUMBER(financials[[#This Row],[Date]])</f>
        <v>1</v>
      </c>
      <c r="O362" s="8">
        <v>6</v>
      </c>
      <c r="P362" s="5" t="s">
        <v>26</v>
      </c>
      <c r="Q362" s="7" t="s">
        <v>15</v>
      </c>
      <c r="R362" s="5">
        <f t="shared" si="5"/>
        <v>0</v>
      </c>
    </row>
    <row r="363" spans="1:18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6" t="b">
        <f>ISNUMBER(financials[[#This Row],[Date]])</f>
        <v>1</v>
      </c>
      <c r="O363" s="8">
        <v>8</v>
      </c>
      <c r="P363" s="5" t="s">
        <v>77</v>
      </c>
      <c r="Q363" s="7" t="s">
        <v>15</v>
      </c>
      <c r="R363" s="5">
        <f t="shared" si="5"/>
        <v>0</v>
      </c>
    </row>
    <row r="364" spans="1:18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6" t="b">
        <f>ISNUMBER(financials[[#This Row],[Date]])</f>
        <v>1</v>
      </c>
      <c r="O364" s="8">
        <v>11</v>
      </c>
      <c r="P364" s="5" t="s">
        <v>80</v>
      </c>
      <c r="Q364" s="7" t="s">
        <v>15</v>
      </c>
      <c r="R364" s="5">
        <f t="shared" si="5"/>
        <v>0</v>
      </c>
    </row>
    <row r="365" spans="1:18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6" t="b">
        <f>ISNUMBER(financials[[#This Row],[Date]])</f>
        <v>1</v>
      </c>
      <c r="O365" s="8">
        <v>12</v>
      </c>
      <c r="P365" s="5" t="s">
        <v>81</v>
      </c>
      <c r="Q365" s="7" t="s">
        <v>15</v>
      </c>
      <c r="R365" s="5">
        <f t="shared" si="5"/>
        <v>0</v>
      </c>
    </row>
    <row r="366" spans="1:18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6" t="b">
        <f>ISNUMBER(financials[[#This Row],[Date]])</f>
        <v>1</v>
      </c>
      <c r="O366" s="8">
        <v>3</v>
      </c>
      <c r="P366" s="5" t="s">
        <v>82</v>
      </c>
      <c r="Q366" s="7" t="s">
        <v>15</v>
      </c>
      <c r="R366" s="5">
        <f t="shared" si="5"/>
        <v>0</v>
      </c>
    </row>
    <row r="367" spans="1:18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6" t="b">
        <f>ISNUMBER(financials[[#This Row],[Date]])</f>
        <v>1</v>
      </c>
      <c r="O367" s="8">
        <v>6</v>
      </c>
      <c r="P367" s="5" t="s">
        <v>26</v>
      </c>
      <c r="Q367" s="7" t="s">
        <v>15</v>
      </c>
      <c r="R367" s="5">
        <f t="shared" si="5"/>
        <v>0</v>
      </c>
    </row>
    <row r="368" spans="1:18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6" t="b">
        <f>ISNUMBER(financials[[#This Row],[Date]])</f>
        <v>1</v>
      </c>
      <c r="O368" s="8">
        <v>7</v>
      </c>
      <c r="P368" s="5" t="s">
        <v>27</v>
      </c>
      <c r="Q368" s="7" t="s">
        <v>15</v>
      </c>
      <c r="R368" s="5">
        <f t="shared" si="5"/>
        <v>0</v>
      </c>
    </row>
    <row r="369" spans="1:18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6" t="b">
        <f>ISNUMBER(financials[[#This Row],[Date]])</f>
        <v>1</v>
      </c>
      <c r="O369" s="8">
        <v>8</v>
      </c>
      <c r="P369" s="5" t="s">
        <v>77</v>
      </c>
      <c r="Q369" s="7" t="s">
        <v>15</v>
      </c>
      <c r="R369" s="5">
        <f t="shared" si="5"/>
        <v>0</v>
      </c>
    </row>
    <row r="370" spans="1:18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6" t="b">
        <f>ISNUMBER(financials[[#This Row],[Date]])</f>
        <v>1</v>
      </c>
      <c r="O370" s="8">
        <v>9</v>
      </c>
      <c r="P370" s="5" t="s">
        <v>78</v>
      </c>
      <c r="Q370" s="7" t="s">
        <v>14</v>
      </c>
      <c r="R370" s="5">
        <f t="shared" si="5"/>
        <v>0</v>
      </c>
    </row>
    <row r="371" spans="1:18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6" t="b">
        <f>ISNUMBER(financials[[#This Row],[Date]])</f>
        <v>1</v>
      </c>
      <c r="O371" s="8">
        <v>12</v>
      </c>
      <c r="P371" s="5" t="s">
        <v>81</v>
      </c>
      <c r="Q371" s="7" t="s">
        <v>15</v>
      </c>
      <c r="R371" s="5">
        <f t="shared" si="5"/>
        <v>0</v>
      </c>
    </row>
    <row r="372" spans="1:18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6" t="b">
        <f>ISNUMBER(financials[[#This Row],[Date]])</f>
        <v>1</v>
      </c>
      <c r="O372" s="8">
        <v>3</v>
      </c>
      <c r="P372" s="5" t="s">
        <v>82</v>
      </c>
      <c r="Q372" s="7" t="s">
        <v>15</v>
      </c>
      <c r="R372" s="5">
        <f t="shared" si="5"/>
        <v>0</v>
      </c>
    </row>
    <row r="373" spans="1:18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6" t="b">
        <f>ISNUMBER(financials[[#This Row],[Date]])</f>
        <v>1</v>
      </c>
      <c r="O373" s="8">
        <v>4</v>
      </c>
      <c r="P373" s="5" t="s">
        <v>24</v>
      </c>
      <c r="Q373" s="7" t="s">
        <v>15</v>
      </c>
      <c r="R373" s="5">
        <f t="shared" si="5"/>
        <v>0</v>
      </c>
    </row>
    <row r="374" spans="1:18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6" t="b">
        <f>ISNUMBER(financials[[#This Row],[Date]])</f>
        <v>1</v>
      </c>
      <c r="O374" s="8">
        <v>5</v>
      </c>
      <c r="P374" s="5" t="s">
        <v>25</v>
      </c>
      <c r="Q374" s="7" t="s">
        <v>15</v>
      </c>
      <c r="R374" s="5">
        <f t="shared" si="5"/>
        <v>0</v>
      </c>
    </row>
    <row r="375" spans="1:18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6" t="b">
        <f>ISNUMBER(financials[[#This Row],[Date]])</f>
        <v>1</v>
      </c>
      <c r="O375" s="8">
        <v>6</v>
      </c>
      <c r="P375" s="5" t="s">
        <v>26</v>
      </c>
      <c r="Q375" s="7" t="s">
        <v>15</v>
      </c>
      <c r="R375" s="5">
        <f t="shared" si="5"/>
        <v>0</v>
      </c>
    </row>
    <row r="376" spans="1:18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6" t="b">
        <f>ISNUMBER(financials[[#This Row],[Date]])</f>
        <v>1</v>
      </c>
      <c r="O376" s="8">
        <v>6</v>
      </c>
      <c r="P376" s="5" t="s">
        <v>26</v>
      </c>
      <c r="Q376" s="7" t="s">
        <v>15</v>
      </c>
      <c r="R376" s="5">
        <f t="shared" si="5"/>
        <v>0</v>
      </c>
    </row>
    <row r="377" spans="1:18" x14ac:dyDescent="0.3">
      <c r="A377" t="s">
        <v>10</v>
      </c>
      <c r="B377" t="s">
        <v>74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6" t="b">
        <f>ISNUMBER(financials[[#This Row],[Date]])</f>
        <v>1</v>
      </c>
      <c r="O377" s="8">
        <v>8</v>
      </c>
      <c r="P377" s="5" t="s">
        <v>77</v>
      </c>
      <c r="Q377" s="7" t="s">
        <v>15</v>
      </c>
      <c r="R377" s="5">
        <f t="shared" si="5"/>
        <v>0</v>
      </c>
    </row>
    <row r="378" spans="1:18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6" t="b">
        <f>ISNUMBER(financials[[#This Row],[Date]])</f>
        <v>1</v>
      </c>
      <c r="O378" s="8">
        <v>8</v>
      </c>
      <c r="P378" s="5" t="s">
        <v>77</v>
      </c>
      <c r="Q378" s="7" t="s">
        <v>15</v>
      </c>
      <c r="R378" s="5">
        <f t="shared" si="5"/>
        <v>0</v>
      </c>
    </row>
    <row r="379" spans="1:18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6" t="b">
        <f>ISNUMBER(financials[[#This Row],[Date]])</f>
        <v>1</v>
      </c>
      <c r="O379" s="8">
        <v>9</v>
      </c>
      <c r="P379" s="5" t="s">
        <v>78</v>
      </c>
      <c r="Q379" s="7" t="s">
        <v>14</v>
      </c>
      <c r="R379" s="5">
        <f t="shared" si="5"/>
        <v>0</v>
      </c>
    </row>
    <row r="380" spans="1:18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6" t="b">
        <f>ISNUMBER(financials[[#This Row],[Date]])</f>
        <v>1</v>
      </c>
      <c r="O380" s="8">
        <v>9</v>
      </c>
      <c r="P380" s="5" t="s">
        <v>78</v>
      </c>
      <c r="Q380" s="7" t="s">
        <v>15</v>
      </c>
      <c r="R380" s="5">
        <f t="shared" si="5"/>
        <v>0</v>
      </c>
    </row>
    <row r="381" spans="1:18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6" t="b">
        <f>ISNUMBER(financials[[#This Row],[Date]])</f>
        <v>1</v>
      </c>
      <c r="O381" s="8">
        <v>9</v>
      </c>
      <c r="P381" s="5" t="s">
        <v>78</v>
      </c>
      <c r="Q381" s="7" t="s">
        <v>15</v>
      </c>
      <c r="R381" s="5">
        <f t="shared" si="5"/>
        <v>0</v>
      </c>
    </row>
    <row r="382" spans="1:18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6" t="b">
        <f>ISNUMBER(financials[[#This Row],[Date]])</f>
        <v>1</v>
      </c>
      <c r="O382" s="8">
        <v>11</v>
      </c>
      <c r="P382" s="5" t="s">
        <v>80</v>
      </c>
      <c r="Q382" s="7" t="s">
        <v>14</v>
      </c>
      <c r="R382" s="5">
        <f t="shared" si="5"/>
        <v>0</v>
      </c>
    </row>
    <row r="383" spans="1:18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6" t="b">
        <f>ISNUMBER(financials[[#This Row],[Date]])</f>
        <v>1</v>
      </c>
      <c r="O383" s="8">
        <v>12</v>
      </c>
      <c r="P383" s="5" t="s">
        <v>81</v>
      </c>
      <c r="Q383" s="7" t="s">
        <v>14</v>
      </c>
      <c r="R383" s="5">
        <f t="shared" si="5"/>
        <v>0</v>
      </c>
    </row>
    <row r="384" spans="1:18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6" t="b">
        <f>ISNUMBER(financials[[#This Row],[Date]])</f>
        <v>1</v>
      </c>
      <c r="O384" s="8">
        <v>12</v>
      </c>
      <c r="P384" s="5" t="s">
        <v>81</v>
      </c>
      <c r="Q384" s="7" t="s">
        <v>15</v>
      </c>
      <c r="R384" s="5">
        <f t="shared" si="5"/>
        <v>0</v>
      </c>
    </row>
    <row r="385" spans="1:18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6" t="b">
        <f>ISNUMBER(financials[[#This Row],[Date]])</f>
        <v>1</v>
      </c>
      <c r="O385" s="8">
        <v>3</v>
      </c>
      <c r="P385" s="5" t="s">
        <v>82</v>
      </c>
      <c r="Q385" s="7" t="s">
        <v>15</v>
      </c>
      <c r="R385" s="5">
        <f t="shared" si="5"/>
        <v>0</v>
      </c>
    </row>
    <row r="386" spans="1:18" x14ac:dyDescent="0.3">
      <c r="A386" t="s">
        <v>10</v>
      </c>
      <c r="B386" t="s">
        <v>74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6" t="b">
        <f>ISNUMBER(financials[[#This Row],[Date]])</f>
        <v>1</v>
      </c>
      <c r="O386" s="8">
        <v>6</v>
      </c>
      <c r="P386" s="5" t="s">
        <v>26</v>
      </c>
      <c r="Q386" s="7" t="s">
        <v>15</v>
      </c>
      <c r="R386" s="5">
        <f t="shared" ref="R386:R449" si="6">COUNTIFS(A:A,A386,B:B,B386,C:C,C386,D:D,D386,E:E,E386,F:F,F386,G:G,G386,H:H,H386,I:I,I386,J:J,J386,K:K,K386,L:L,L386,M:M,M386,N:N,O386,O:O,P386,P:P,Q386)</f>
        <v>0</v>
      </c>
    </row>
    <row r="387" spans="1:18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6" t="b">
        <f>ISNUMBER(financials[[#This Row],[Date]])</f>
        <v>1</v>
      </c>
      <c r="O387" s="8">
        <v>6</v>
      </c>
      <c r="P387" s="5" t="s">
        <v>26</v>
      </c>
      <c r="Q387" s="7" t="s">
        <v>15</v>
      </c>
      <c r="R387" s="5">
        <f t="shared" si="6"/>
        <v>0</v>
      </c>
    </row>
    <row r="388" spans="1:18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6" t="b">
        <f>ISNUMBER(financials[[#This Row],[Date]])</f>
        <v>1</v>
      </c>
      <c r="O388" s="8">
        <v>11</v>
      </c>
      <c r="P388" s="5" t="s">
        <v>80</v>
      </c>
      <c r="Q388" s="7" t="s">
        <v>14</v>
      </c>
      <c r="R388" s="5">
        <f t="shared" si="6"/>
        <v>0</v>
      </c>
    </row>
    <row r="389" spans="1:18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6" t="b">
        <f>ISNUMBER(financials[[#This Row],[Date]])</f>
        <v>1</v>
      </c>
      <c r="O389" s="8">
        <v>12</v>
      </c>
      <c r="P389" s="5" t="s">
        <v>81</v>
      </c>
      <c r="Q389" s="7" t="s">
        <v>15</v>
      </c>
      <c r="R389" s="5">
        <f t="shared" si="6"/>
        <v>0</v>
      </c>
    </row>
    <row r="390" spans="1:18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6" t="b">
        <f>ISNUMBER(financials[[#This Row],[Date]])</f>
        <v>1</v>
      </c>
      <c r="O390" s="8">
        <v>4</v>
      </c>
      <c r="P390" s="5" t="s">
        <v>24</v>
      </c>
      <c r="Q390" s="7" t="s">
        <v>15</v>
      </c>
      <c r="R390" s="5">
        <f t="shared" si="6"/>
        <v>0</v>
      </c>
    </row>
    <row r="391" spans="1:18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6" t="b">
        <f>ISNUMBER(financials[[#This Row],[Date]])</f>
        <v>1</v>
      </c>
      <c r="O391" s="8">
        <v>6</v>
      </c>
      <c r="P391" s="5" t="s">
        <v>26</v>
      </c>
      <c r="Q391" s="7" t="s">
        <v>15</v>
      </c>
      <c r="R391" s="5">
        <f t="shared" si="6"/>
        <v>0</v>
      </c>
    </row>
    <row r="392" spans="1:18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6" t="b">
        <f>ISNUMBER(financials[[#This Row],[Date]])</f>
        <v>1</v>
      </c>
      <c r="O392" s="8">
        <v>8</v>
      </c>
      <c r="P392" s="5" t="s">
        <v>77</v>
      </c>
      <c r="Q392" s="7" t="s">
        <v>15</v>
      </c>
      <c r="R392" s="5">
        <f t="shared" si="6"/>
        <v>0</v>
      </c>
    </row>
    <row r="393" spans="1:18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6" t="b">
        <f>ISNUMBER(financials[[#This Row],[Date]])</f>
        <v>1</v>
      </c>
      <c r="O393" s="8">
        <v>8</v>
      </c>
      <c r="P393" s="5" t="s">
        <v>77</v>
      </c>
      <c r="Q393" s="7" t="s">
        <v>15</v>
      </c>
      <c r="R393" s="5">
        <f t="shared" si="6"/>
        <v>0</v>
      </c>
    </row>
    <row r="394" spans="1:18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6" t="b">
        <f>ISNUMBER(financials[[#This Row],[Date]])</f>
        <v>1</v>
      </c>
      <c r="O394" s="8">
        <v>9</v>
      </c>
      <c r="P394" s="5" t="s">
        <v>78</v>
      </c>
      <c r="Q394" s="7" t="s">
        <v>15</v>
      </c>
      <c r="R394" s="5">
        <f t="shared" si="6"/>
        <v>0</v>
      </c>
    </row>
    <row r="395" spans="1:18" x14ac:dyDescent="0.3">
      <c r="A395" t="s">
        <v>7</v>
      </c>
      <c r="B395" t="s">
        <v>74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6" t="b">
        <f>ISNUMBER(financials[[#This Row],[Date]])</f>
        <v>1</v>
      </c>
      <c r="O395" s="8">
        <v>12</v>
      </c>
      <c r="P395" s="5" t="s">
        <v>81</v>
      </c>
      <c r="Q395" s="7" t="s">
        <v>14</v>
      </c>
      <c r="R395" s="5">
        <f t="shared" si="6"/>
        <v>0</v>
      </c>
    </row>
    <row r="396" spans="1:18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6" t="b">
        <f>ISNUMBER(financials[[#This Row],[Date]])</f>
        <v>1</v>
      </c>
      <c r="O396" s="8">
        <v>6</v>
      </c>
      <c r="P396" s="5" t="s">
        <v>26</v>
      </c>
      <c r="Q396" s="7" t="s">
        <v>15</v>
      </c>
      <c r="R396" s="5">
        <f t="shared" si="6"/>
        <v>0</v>
      </c>
    </row>
    <row r="397" spans="1:18" x14ac:dyDescent="0.3">
      <c r="A397" t="s">
        <v>10</v>
      </c>
      <c r="B397" t="s">
        <v>74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6" t="b">
        <f>ISNUMBER(financials[[#This Row],[Date]])</f>
        <v>1</v>
      </c>
      <c r="O397" s="8">
        <v>6</v>
      </c>
      <c r="P397" s="5" t="s">
        <v>26</v>
      </c>
      <c r="Q397" s="7" t="s">
        <v>15</v>
      </c>
      <c r="R397" s="5">
        <f t="shared" si="6"/>
        <v>0</v>
      </c>
    </row>
    <row r="398" spans="1:18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6" t="b">
        <f>ISNUMBER(financials[[#This Row],[Date]])</f>
        <v>1</v>
      </c>
      <c r="O398" s="8">
        <v>6</v>
      </c>
      <c r="P398" s="5" t="s">
        <v>26</v>
      </c>
      <c r="Q398" s="7" t="s">
        <v>15</v>
      </c>
      <c r="R398" s="5">
        <f t="shared" si="6"/>
        <v>0</v>
      </c>
    </row>
    <row r="399" spans="1:18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6" t="b">
        <f>ISNUMBER(financials[[#This Row],[Date]])</f>
        <v>1</v>
      </c>
      <c r="O399" s="8">
        <v>6</v>
      </c>
      <c r="P399" s="5" t="s">
        <v>26</v>
      </c>
      <c r="Q399" s="7" t="s">
        <v>15</v>
      </c>
      <c r="R399" s="5">
        <f t="shared" si="6"/>
        <v>0</v>
      </c>
    </row>
    <row r="400" spans="1:18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6" t="b">
        <f>ISNUMBER(financials[[#This Row],[Date]])</f>
        <v>1</v>
      </c>
      <c r="O400" s="8">
        <v>11</v>
      </c>
      <c r="P400" s="5" t="s">
        <v>80</v>
      </c>
      <c r="Q400" s="7" t="s">
        <v>15</v>
      </c>
      <c r="R400" s="5">
        <f t="shared" si="6"/>
        <v>0</v>
      </c>
    </row>
    <row r="401" spans="1:18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6" t="b">
        <f>ISNUMBER(financials[[#This Row],[Date]])</f>
        <v>1</v>
      </c>
      <c r="O401" s="8">
        <v>12</v>
      </c>
      <c r="P401" s="5" t="s">
        <v>81</v>
      </c>
      <c r="Q401" s="7" t="s">
        <v>15</v>
      </c>
      <c r="R401" s="5">
        <f t="shared" si="6"/>
        <v>0</v>
      </c>
    </row>
    <row r="402" spans="1:18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6" t="b">
        <f>ISNUMBER(financials[[#This Row],[Date]])</f>
        <v>1</v>
      </c>
      <c r="O402" s="8">
        <v>12</v>
      </c>
      <c r="P402" s="5" t="s">
        <v>81</v>
      </c>
      <c r="Q402" s="7" t="s">
        <v>14</v>
      </c>
      <c r="R402" s="5">
        <f t="shared" si="6"/>
        <v>0</v>
      </c>
    </row>
    <row r="403" spans="1:18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6" t="b">
        <f>ISNUMBER(financials[[#This Row],[Date]])</f>
        <v>1</v>
      </c>
      <c r="O403" s="8">
        <v>12</v>
      </c>
      <c r="P403" s="5" t="s">
        <v>81</v>
      </c>
      <c r="Q403" s="7" t="s">
        <v>15</v>
      </c>
      <c r="R403" s="5">
        <f t="shared" si="6"/>
        <v>0</v>
      </c>
    </row>
    <row r="404" spans="1:18" x14ac:dyDescent="0.3">
      <c r="A404" t="s">
        <v>10</v>
      </c>
      <c r="B404" t="s">
        <v>74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6" t="b">
        <f>ISNUMBER(financials[[#This Row],[Date]])</f>
        <v>1</v>
      </c>
      <c r="O404" s="8">
        <v>7</v>
      </c>
      <c r="P404" s="5" t="s">
        <v>27</v>
      </c>
      <c r="Q404" s="7" t="s">
        <v>15</v>
      </c>
      <c r="R404" s="5">
        <f t="shared" si="6"/>
        <v>0</v>
      </c>
    </row>
    <row r="405" spans="1:18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6" t="b">
        <f>ISNUMBER(financials[[#This Row],[Date]])</f>
        <v>1</v>
      </c>
      <c r="O405" s="8">
        <v>6</v>
      </c>
      <c r="P405" s="5" t="s">
        <v>26</v>
      </c>
      <c r="Q405" s="7" t="s">
        <v>15</v>
      </c>
      <c r="R405" s="5">
        <f t="shared" si="6"/>
        <v>0</v>
      </c>
    </row>
    <row r="406" spans="1:18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6" t="b">
        <f>ISNUMBER(financials[[#This Row],[Date]])</f>
        <v>1</v>
      </c>
      <c r="O406" s="8">
        <v>10</v>
      </c>
      <c r="P406" s="5" t="s">
        <v>79</v>
      </c>
      <c r="Q406" s="7" t="s">
        <v>14</v>
      </c>
      <c r="R406" s="5">
        <f t="shared" si="6"/>
        <v>0</v>
      </c>
    </row>
    <row r="407" spans="1:18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6" t="b">
        <f>ISNUMBER(financials[[#This Row],[Date]])</f>
        <v>1</v>
      </c>
      <c r="O407" s="8">
        <v>4</v>
      </c>
      <c r="P407" s="5" t="s">
        <v>24</v>
      </c>
      <c r="Q407" s="7" t="s">
        <v>15</v>
      </c>
      <c r="R407" s="5">
        <f t="shared" si="6"/>
        <v>0</v>
      </c>
    </row>
    <row r="408" spans="1:18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6" t="b">
        <f>ISNUMBER(financials[[#This Row],[Date]])</f>
        <v>1</v>
      </c>
      <c r="O408" s="8">
        <v>5</v>
      </c>
      <c r="P408" s="5" t="s">
        <v>25</v>
      </c>
      <c r="Q408" s="7" t="s">
        <v>15</v>
      </c>
      <c r="R408" s="5">
        <f t="shared" si="6"/>
        <v>0</v>
      </c>
    </row>
    <row r="409" spans="1:18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6" t="b">
        <f>ISNUMBER(financials[[#This Row],[Date]])</f>
        <v>1</v>
      </c>
      <c r="O409" s="8">
        <v>9</v>
      </c>
      <c r="P409" s="5" t="s">
        <v>78</v>
      </c>
      <c r="Q409" s="7" t="s">
        <v>14</v>
      </c>
      <c r="R409" s="5">
        <f t="shared" si="6"/>
        <v>0</v>
      </c>
    </row>
    <row r="410" spans="1:18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6" t="b">
        <f>ISNUMBER(financials[[#This Row],[Date]])</f>
        <v>1</v>
      </c>
      <c r="O410" s="8">
        <v>11</v>
      </c>
      <c r="P410" s="5" t="s">
        <v>80</v>
      </c>
      <c r="Q410" s="7" t="s">
        <v>15</v>
      </c>
      <c r="R410" s="5">
        <f t="shared" si="6"/>
        <v>0</v>
      </c>
    </row>
    <row r="411" spans="1:18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6" t="b">
        <f>ISNUMBER(financials[[#This Row],[Date]])</f>
        <v>1</v>
      </c>
      <c r="O411" s="8">
        <v>11</v>
      </c>
      <c r="P411" s="5" t="s">
        <v>80</v>
      </c>
      <c r="Q411" s="7" t="s">
        <v>14</v>
      </c>
      <c r="R411" s="5">
        <f t="shared" si="6"/>
        <v>0</v>
      </c>
    </row>
    <row r="412" spans="1:18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6" t="b">
        <f>ISNUMBER(financials[[#This Row],[Date]])</f>
        <v>1</v>
      </c>
      <c r="O412" s="8">
        <v>12</v>
      </c>
      <c r="P412" s="5" t="s">
        <v>81</v>
      </c>
      <c r="Q412" s="7" t="s">
        <v>14</v>
      </c>
      <c r="R412" s="5">
        <f t="shared" si="6"/>
        <v>0</v>
      </c>
    </row>
    <row r="413" spans="1:18" x14ac:dyDescent="0.3">
      <c r="A413" t="s">
        <v>9</v>
      </c>
      <c r="B413" t="s">
        <v>74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6" t="b">
        <f>ISNUMBER(financials[[#This Row],[Date]])</f>
        <v>1</v>
      </c>
      <c r="O413" s="8">
        <v>12</v>
      </c>
      <c r="P413" s="5" t="s">
        <v>81</v>
      </c>
      <c r="Q413" s="7" t="s">
        <v>15</v>
      </c>
      <c r="R413" s="5">
        <f t="shared" si="6"/>
        <v>0</v>
      </c>
    </row>
    <row r="414" spans="1:18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6" t="b">
        <f>ISNUMBER(financials[[#This Row],[Date]])</f>
        <v>1</v>
      </c>
      <c r="O414" s="8">
        <v>12</v>
      </c>
      <c r="P414" s="5" t="s">
        <v>81</v>
      </c>
      <c r="Q414" s="7" t="s">
        <v>14</v>
      </c>
      <c r="R414" s="5">
        <f t="shared" si="6"/>
        <v>0</v>
      </c>
    </row>
    <row r="415" spans="1:18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6" t="b">
        <f>ISNUMBER(financials[[#This Row],[Date]])</f>
        <v>1</v>
      </c>
      <c r="O415" s="8">
        <v>1</v>
      </c>
      <c r="P415" s="5" t="s">
        <v>76</v>
      </c>
      <c r="Q415" s="7" t="s">
        <v>15</v>
      </c>
      <c r="R415" s="5">
        <f t="shared" si="6"/>
        <v>0</v>
      </c>
    </row>
    <row r="416" spans="1:18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6" t="b">
        <f>ISNUMBER(financials[[#This Row],[Date]])</f>
        <v>1</v>
      </c>
      <c r="O416" s="8">
        <v>1</v>
      </c>
      <c r="P416" s="5" t="s">
        <v>76</v>
      </c>
      <c r="Q416" s="7" t="s">
        <v>15</v>
      </c>
      <c r="R416" s="5">
        <f t="shared" si="6"/>
        <v>0</v>
      </c>
    </row>
    <row r="417" spans="1:18" x14ac:dyDescent="0.3">
      <c r="A417" t="s">
        <v>8</v>
      </c>
      <c r="B417" t="s">
        <v>74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6" t="b">
        <f>ISNUMBER(financials[[#This Row],[Date]])</f>
        <v>1</v>
      </c>
      <c r="O417" s="8">
        <v>4</v>
      </c>
      <c r="P417" s="5" t="s">
        <v>24</v>
      </c>
      <c r="Q417" s="7" t="s">
        <v>15</v>
      </c>
      <c r="R417" s="5">
        <f t="shared" si="6"/>
        <v>0</v>
      </c>
    </row>
    <row r="418" spans="1:18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6" t="b">
        <f>ISNUMBER(financials[[#This Row],[Date]])</f>
        <v>1</v>
      </c>
      <c r="O418" s="8">
        <v>6</v>
      </c>
      <c r="P418" s="5" t="s">
        <v>26</v>
      </c>
      <c r="Q418" s="7" t="s">
        <v>15</v>
      </c>
      <c r="R418" s="5">
        <f t="shared" si="6"/>
        <v>0</v>
      </c>
    </row>
    <row r="419" spans="1:18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6" t="b">
        <f>ISNUMBER(financials[[#This Row],[Date]])</f>
        <v>1</v>
      </c>
      <c r="O419" s="8">
        <v>10</v>
      </c>
      <c r="P419" s="5" t="s">
        <v>79</v>
      </c>
      <c r="Q419" s="7" t="s">
        <v>15</v>
      </c>
      <c r="R419" s="5">
        <f t="shared" si="6"/>
        <v>0</v>
      </c>
    </row>
    <row r="420" spans="1:18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6" t="b">
        <f>ISNUMBER(financials[[#This Row],[Date]])</f>
        <v>1</v>
      </c>
      <c r="O420" s="8">
        <v>10</v>
      </c>
      <c r="P420" s="5" t="s">
        <v>79</v>
      </c>
      <c r="Q420" s="7" t="s">
        <v>14</v>
      </c>
      <c r="R420" s="5">
        <f t="shared" si="6"/>
        <v>0</v>
      </c>
    </row>
    <row r="421" spans="1:18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6" t="b">
        <f>ISNUMBER(financials[[#This Row],[Date]])</f>
        <v>1</v>
      </c>
      <c r="O421" s="8">
        <v>11</v>
      </c>
      <c r="P421" s="5" t="s">
        <v>80</v>
      </c>
      <c r="Q421" s="7" t="s">
        <v>15</v>
      </c>
      <c r="R421" s="5">
        <f t="shared" si="6"/>
        <v>0</v>
      </c>
    </row>
    <row r="422" spans="1:18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6" t="b">
        <f>ISNUMBER(financials[[#This Row],[Date]])</f>
        <v>1</v>
      </c>
      <c r="O422" s="8">
        <v>11</v>
      </c>
      <c r="P422" s="5" t="s">
        <v>80</v>
      </c>
      <c r="Q422" s="7" t="s">
        <v>14</v>
      </c>
      <c r="R422" s="5">
        <f t="shared" si="6"/>
        <v>0</v>
      </c>
    </row>
    <row r="423" spans="1:18" x14ac:dyDescent="0.3">
      <c r="A423" t="s">
        <v>9</v>
      </c>
      <c r="B423" t="s">
        <v>74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6" t="b">
        <f>ISNUMBER(financials[[#This Row],[Date]])</f>
        <v>1</v>
      </c>
      <c r="O423" s="8">
        <v>12</v>
      </c>
      <c r="P423" s="5" t="s">
        <v>81</v>
      </c>
      <c r="Q423" s="7" t="s">
        <v>15</v>
      </c>
      <c r="R423" s="5">
        <f t="shared" si="6"/>
        <v>0</v>
      </c>
    </row>
    <row r="424" spans="1:18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6" t="b">
        <f>ISNUMBER(financials[[#This Row],[Date]])</f>
        <v>1</v>
      </c>
      <c r="O424" s="8">
        <v>5</v>
      </c>
      <c r="P424" s="5" t="s">
        <v>25</v>
      </c>
      <c r="Q424" s="7" t="s">
        <v>15</v>
      </c>
      <c r="R424" s="5">
        <f t="shared" si="6"/>
        <v>0</v>
      </c>
    </row>
    <row r="425" spans="1:18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6" t="b">
        <f>ISNUMBER(financials[[#This Row],[Date]])</f>
        <v>1</v>
      </c>
      <c r="O425" s="8">
        <v>7</v>
      </c>
      <c r="P425" s="5" t="s">
        <v>27</v>
      </c>
      <c r="Q425" s="7" t="s">
        <v>15</v>
      </c>
      <c r="R425" s="5">
        <f t="shared" si="6"/>
        <v>0</v>
      </c>
    </row>
    <row r="426" spans="1:18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6" t="b">
        <f>ISNUMBER(financials[[#This Row],[Date]])</f>
        <v>1</v>
      </c>
      <c r="O426" s="8">
        <v>7</v>
      </c>
      <c r="P426" s="5" t="s">
        <v>27</v>
      </c>
      <c r="Q426" s="7" t="s">
        <v>15</v>
      </c>
      <c r="R426" s="5">
        <f t="shared" si="6"/>
        <v>0</v>
      </c>
    </row>
    <row r="427" spans="1:18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6" t="b">
        <f>ISNUMBER(financials[[#This Row],[Date]])</f>
        <v>1</v>
      </c>
      <c r="O427" s="8">
        <v>9</v>
      </c>
      <c r="P427" s="5" t="s">
        <v>78</v>
      </c>
      <c r="Q427" s="7" t="s">
        <v>15</v>
      </c>
      <c r="R427" s="5">
        <f t="shared" si="6"/>
        <v>0</v>
      </c>
    </row>
    <row r="428" spans="1:18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6" t="b">
        <f>ISNUMBER(financials[[#This Row],[Date]])</f>
        <v>1</v>
      </c>
      <c r="O428" s="8">
        <v>9</v>
      </c>
      <c r="P428" s="5" t="s">
        <v>78</v>
      </c>
      <c r="Q428" s="7" t="s">
        <v>15</v>
      </c>
      <c r="R428" s="5">
        <f t="shared" si="6"/>
        <v>0</v>
      </c>
    </row>
    <row r="429" spans="1:18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6" t="b">
        <f>ISNUMBER(financials[[#This Row],[Date]])</f>
        <v>1</v>
      </c>
      <c r="O429" s="8">
        <v>10</v>
      </c>
      <c r="P429" s="5" t="s">
        <v>79</v>
      </c>
      <c r="Q429" s="7" t="s">
        <v>15</v>
      </c>
      <c r="R429" s="5">
        <f t="shared" si="6"/>
        <v>0</v>
      </c>
    </row>
    <row r="430" spans="1:18" x14ac:dyDescent="0.3">
      <c r="A430" t="s">
        <v>11</v>
      </c>
      <c r="B430" t="s">
        <v>74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6" t="b">
        <f>ISNUMBER(financials[[#This Row],[Date]])</f>
        <v>1</v>
      </c>
      <c r="O430" s="8">
        <v>1</v>
      </c>
      <c r="P430" s="5" t="s">
        <v>76</v>
      </c>
      <c r="Q430" s="7" t="s">
        <v>15</v>
      </c>
      <c r="R430" s="5">
        <f t="shared" si="6"/>
        <v>0</v>
      </c>
    </row>
    <row r="431" spans="1:18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6" t="b">
        <f>ISNUMBER(financials[[#This Row],[Date]])</f>
        <v>1</v>
      </c>
      <c r="O431" s="8">
        <v>2</v>
      </c>
      <c r="P431" s="5" t="s">
        <v>75</v>
      </c>
      <c r="Q431" s="7" t="s">
        <v>15</v>
      </c>
      <c r="R431" s="5">
        <f t="shared" si="6"/>
        <v>0</v>
      </c>
    </row>
    <row r="432" spans="1:18" x14ac:dyDescent="0.3">
      <c r="A432" t="s">
        <v>10</v>
      </c>
      <c r="B432" t="s">
        <v>74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6" t="b">
        <f>ISNUMBER(financials[[#This Row],[Date]])</f>
        <v>1</v>
      </c>
      <c r="O432" s="8">
        <v>4</v>
      </c>
      <c r="P432" s="5" t="s">
        <v>24</v>
      </c>
      <c r="Q432" s="7" t="s">
        <v>15</v>
      </c>
      <c r="R432" s="5">
        <f t="shared" si="6"/>
        <v>0</v>
      </c>
    </row>
    <row r="433" spans="1:18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6" t="b">
        <f>ISNUMBER(financials[[#This Row],[Date]])</f>
        <v>1</v>
      </c>
      <c r="O433" s="8">
        <v>5</v>
      </c>
      <c r="P433" s="5" t="s">
        <v>25</v>
      </c>
      <c r="Q433" s="7" t="s">
        <v>15</v>
      </c>
      <c r="R433" s="5">
        <f t="shared" si="6"/>
        <v>0</v>
      </c>
    </row>
    <row r="434" spans="1:18" x14ac:dyDescent="0.3">
      <c r="A434" t="s">
        <v>7</v>
      </c>
      <c r="B434" t="s">
        <v>74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6" t="b">
        <f>ISNUMBER(financials[[#This Row],[Date]])</f>
        <v>1</v>
      </c>
      <c r="O434" s="8">
        <v>9</v>
      </c>
      <c r="P434" s="5" t="s">
        <v>78</v>
      </c>
      <c r="Q434" s="7" t="s">
        <v>15</v>
      </c>
      <c r="R434" s="5">
        <f t="shared" si="6"/>
        <v>0</v>
      </c>
    </row>
    <row r="435" spans="1:18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6" t="b">
        <f>ISNUMBER(financials[[#This Row],[Date]])</f>
        <v>1</v>
      </c>
      <c r="O435" s="8">
        <v>9</v>
      </c>
      <c r="P435" s="5" t="s">
        <v>78</v>
      </c>
      <c r="Q435" s="7" t="s">
        <v>14</v>
      </c>
      <c r="R435" s="5">
        <f t="shared" si="6"/>
        <v>0</v>
      </c>
    </row>
    <row r="436" spans="1:18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6" t="b">
        <f>ISNUMBER(financials[[#This Row],[Date]])</f>
        <v>1</v>
      </c>
      <c r="O436" s="8">
        <v>10</v>
      </c>
      <c r="P436" s="5" t="s">
        <v>79</v>
      </c>
      <c r="Q436" s="7" t="s">
        <v>15</v>
      </c>
      <c r="R436" s="5">
        <f t="shared" si="6"/>
        <v>0</v>
      </c>
    </row>
    <row r="437" spans="1:18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6" t="b">
        <f>ISNUMBER(financials[[#This Row],[Date]])</f>
        <v>1</v>
      </c>
      <c r="O437" s="8">
        <v>11</v>
      </c>
      <c r="P437" s="5" t="s">
        <v>80</v>
      </c>
      <c r="Q437" s="7" t="s">
        <v>15</v>
      </c>
      <c r="R437" s="5">
        <f t="shared" si="6"/>
        <v>0</v>
      </c>
    </row>
    <row r="438" spans="1:18" x14ac:dyDescent="0.3">
      <c r="A438" t="s">
        <v>10</v>
      </c>
      <c r="B438" t="s">
        <v>74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6" t="b">
        <f>ISNUMBER(financials[[#This Row],[Date]])</f>
        <v>1</v>
      </c>
      <c r="O438" s="8">
        <v>9</v>
      </c>
      <c r="P438" s="5" t="s">
        <v>78</v>
      </c>
      <c r="Q438" s="7" t="s">
        <v>15</v>
      </c>
      <c r="R438" s="5">
        <f t="shared" si="6"/>
        <v>0</v>
      </c>
    </row>
    <row r="439" spans="1:18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6" t="b">
        <f>ISNUMBER(financials[[#This Row],[Date]])</f>
        <v>1</v>
      </c>
      <c r="O439" s="8">
        <v>10</v>
      </c>
      <c r="P439" s="5" t="s">
        <v>79</v>
      </c>
      <c r="Q439" s="7" t="s">
        <v>15</v>
      </c>
      <c r="R439" s="5">
        <f t="shared" si="6"/>
        <v>0</v>
      </c>
    </row>
    <row r="440" spans="1:18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6" t="b">
        <f>ISNUMBER(financials[[#This Row],[Date]])</f>
        <v>1</v>
      </c>
      <c r="O440" s="8">
        <v>11</v>
      </c>
      <c r="P440" s="5" t="s">
        <v>80</v>
      </c>
      <c r="Q440" s="7" t="s">
        <v>14</v>
      </c>
      <c r="R440" s="5">
        <f t="shared" si="6"/>
        <v>0</v>
      </c>
    </row>
    <row r="441" spans="1:18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6" t="b">
        <f>ISNUMBER(financials[[#This Row],[Date]])</f>
        <v>1</v>
      </c>
      <c r="O441" s="8">
        <v>11</v>
      </c>
      <c r="P441" s="5" t="s">
        <v>80</v>
      </c>
      <c r="Q441" s="7" t="s">
        <v>15</v>
      </c>
      <c r="R441" s="5">
        <f t="shared" si="6"/>
        <v>0</v>
      </c>
    </row>
    <row r="442" spans="1:18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6" t="b">
        <f>ISNUMBER(financials[[#This Row],[Date]])</f>
        <v>1</v>
      </c>
      <c r="O442" s="8">
        <v>5</v>
      </c>
      <c r="P442" s="5" t="s">
        <v>25</v>
      </c>
      <c r="Q442" s="7" t="s">
        <v>15</v>
      </c>
      <c r="R442" s="5">
        <f t="shared" si="6"/>
        <v>0</v>
      </c>
    </row>
    <row r="443" spans="1:18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6" t="b">
        <f>ISNUMBER(financials[[#This Row],[Date]])</f>
        <v>1</v>
      </c>
      <c r="O443" s="8">
        <v>7</v>
      </c>
      <c r="P443" s="5" t="s">
        <v>27</v>
      </c>
      <c r="Q443" s="7" t="s">
        <v>15</v>
      </c>
      <c r="R443" s="5">
        <f t="shared" si="6"/>
        <v>0</v>
      </c>
    </row>
    <row r="444" spans="1:18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6" t="b">
        <f>ISNUMBER(financials[[#This Row],[Date]])</f>
        <v>1</v>
      </c>
      <c r="O444" s="8">
        <v>9</v>
      </c>
      <c r="P444" s="5" t="s">
        <v>78</v>
      </c>
      <c r="Q444" s="7" t="s">
        <v>15</v>
      </c>
      <c r="R444" s="5">
        <f t="shared" si="6"/>
        <v>0</v>
      </c>
    </row>
    <row r="445" spans="1:18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6" t="b">
        <f>ISNUMBER(financials[[#This Row],[Date]])</f>
        <v>1</v>
      </c>
      <c r="O445" s="8">
        <v>12</v>
      </c>
      <c r="P445" s="5" t="s">
        <v>81</v>
      </c>
      <c r="Q445" s="7" t="s">
        <v>15</v>
      </c>
      <c r="R445" s="5">
        <f t="shared" si="6"/>
        <v>0</v>
      </c>
    </row>
    <row r="446" spans="1:18" x14ac:dyDescent="0.3">
      <c r="A446" t="s">
        <v>10</v>
      </c>
      <c r="B446" t="s">
        <v>74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6" t="b">
        <f>ISNUMBER(financials[[#This Row],[Date]])</f>
        <v>1</v>
      </c>
      <c r="O446" s="8">
        <v>3</v>
      </c>
      <c r="P446" s="5" t="s">
        <v>82</v>
      </c>
      <c r="Q446" s="7" t="s">
        <v>15</v>
      </c>
      <c r="R446" s="5">
        <f t="shared" si="6"/>
        <v>0</v>
      </c>
    </row>
    <row r="447" spans="1:18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6" t="b">
        <f>ISNUMBER(financials[[#This Row],[Date]])</f>
        <v>1</v>
      </c>
      <c r="O447" s="8">
        <v>6</v>
      </c>
      <c r="P447" s="5" t="s">
        <v>26</v>
      </c>
      <c r="Q447" s="7" t="s">
        <v>15</v>
      </c>
      <c r="R447" s="5">
        <f t="shared" si="6"/>
        <v>0</v>
      </c>
    </row>
    <row r="448" spans="1:18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6" t="b">
        <f>ISNUMBER(financials[[#This Row],[Date]])</f>
        <v>1</v>
      </c>
      <c r="O448" s="8">
        <v>10</v>
      </c>
      <c r="P448" s="5" t="s">
        <v>79</v>
      </c>
      <c r="Q448" s="7" t="s">
        <v>15</v>
      </c>
      <c r="R448" s="5">
        <f t="shared" si="6"/>
        <v>0</v>
      </c>
    </row>
    <row r="449" spans="1:18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6" t="b">
        <f>ISNUMBER(financials[[#This Row],[Date]])</f>
        <v>1</v>
      </c>
      <c r="O449" s="8">
        <v>3</v>
      </c>
      <c r="P449" s="5" t="s">
        <v>82</v>
      </c>
      <c r="Q449" s="7" t="s">
        <v>15</v>
      </c>
      <c r="R449" s="5">
        <f t="shared" si="6"/>
        <v>0</v>
      </c>
    </row>
    <row r="450" spans="1:18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6" t="b">
        <f>ISNUMBER(financials[[#This Row],[Date]])</f>
        <v>1</v>
      </c>
      <c r="O450" s="8">
        <v>4</v>
      </c>
      <c r="P450" s="5" t="s">
        <v>24</v>
      </c>
      <c r="Q450" s="7" t="s">
        <v>15</v>
      </c>
      <c r="R450" s="5">
        <f t="shared" ref="R450:R513" si="7">COUNTIFS(A:A,A450,B:B,B450,C:C,C450,D:D,D450,E:E,E450,F:F,F450,G:G,G450,H:H,H450,I:I,I450,J:J,J450,K:K,K450,L:L,L450,M:M,M450,N:N,O450,O:O,P450,P:P,Q450)</f>
        <v>0</v>
      </c>
    </row>
    <row r="451" spans="1:18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6" t="b">
        <f>ISNUMBER(financials[[#This Row],[Date]])</f>
        <v>1</v>
      </c>
      <c r="O451" s="8">
        <v>10</v>
      </c>
      <c r="P451" s="5" t="s">
        <v>79</v>
      </c>
      <c r="Q451" s="7" t="s">
        <v>15</v>
      </c>
      <c r="R451" s="5">
        <f t="shared" si="7"/>
        <v>0</v>
      </c>
    </row>
    <row r="452" spans="1:18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6" t="b">
        <f>ISNUMBER(financials[[#This Row],[Date]])</f>
        <v>1</v>
      </c>
      <c r="O452" s="8">
        <v>11</v>
      </c>
      <c r="P452" s="5" t="s">
        <v>80</v>
      </c>
      <c r="Q452" s="7" t="s">
        <v>14</v>
      </c>
      <c r="R452" s="5">
        <f t="shared" si="7"/>
        <v>0</v>
      </c>
    </row>
    <row r="453" spans="1:18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6" t="b">
        <f>ISNUMBER(financials[[#This Row],[Date]])</f>
        <v>1</v>
      </c>
      <c r="O453" s="8">
        <v>12</v>
      </c>
      <c r="P453" s="5" t="s">
        <v>81</v>
      </c>
      <c r="Q453" s="7" t="s">
        <v>15</v>
      </c>
      <c r="R453" s="5">
        <f t="shared" si="7"/>
        <v>0</v>
      </c>
    </row>
    <row r="454" spans="1:18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6" t="b">
        <f>ISNUMBER(financials[[#This Row],[Date]])</f>
        <v>1</v>
      </c>
      <c r="O454" s="8">
        <v>6</v>
      </c>
      <c r="P454" s="5" t="s">
        <v>26</v>
      </c>
      <c r="Q454" s="7" t="s">
        <v>15</v>
      </c>
      <c r="R454" s="5">
        <f t="shared" si="7"/>
        <v>0</v>
      </c>
    </row>
    <row r="455" spans="1:18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6" t="b">
        <f>ISNUMBER(financials[[#This Row],[Date]])</f>
        <v>1</v>
      </c>
      <c r="O455" s="8">
        <v>7</v>
      </c>
      <c r="P455" s="5" t="s">
        <v>27</v>
      </c>
      <c r="Q455" s="7" t="s">
        <v>15</v>
      </c>
      <c r="R455" s="5">
        <f t="shared" si="7"/>
        <v>0</v>
      </c>
    </row>
    <row r="456" spans="1:18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6" t="b">
        <f>ISNUMBER(financials[[#This Row],[Date]])</f>
        <v>1</v>
      </c>
      <c r="O456" s="8">
        <v>12</v>
      </c>
      <c r="P456" s="5" t="s">
        <v>81</v>
      </c>
      <c r="Q456" s="7" t="s">
        <v>14</v>
      </c>
      <c r="R456" s="5">
        <f t="shared" si="7"/>
        <v>0</v>
      </c>
    </row>
    <row r="457" spans="1:18" x14ac:dyDescent="0.3">
      <c r="A457" t="s">
        <v>11</v>
      </c>
      <c r="B457" t="s">
        <v>74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6" t="b">
        <f>ISNUMBER(financials[[#This Row],[Date]])</f>
        <v>1</v>
      </c>
      <c r="O457" s="8">
        <v>10</v>
      </c>
      <c r="P457" s="5" t="s">
        <v>79</v>
      </c>
      <c r="Q457" s="7" t="s">
        <v>14</v>
      </c>
      <c r="R457" s="5">
        <f t="shared" si="7"/>
        <v>0</v>
      </c>
    </row>
    <row r="458" spans="1:18" x14ac:dyDescent="0.3">
      <c r="A458" t="s">
        <v>10</v>
      </c>
      <c r="B458" t="s">
        <v>74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6" t="b">
        <f>ISNUMBER(financials[[#This Row],[Date]])</f>
        <v>1</v>
      </c>
      <c r="O458" s="8">
        <v>9</v>
      </c>
      <c r="P458" s="5" t="s">
        <v>78</v>
      </c>
      <c r="Q458" s="7" t="s">
        <v>15</v>
      </c>
      <c r="R458" s="5">
        <f t="shared" si="7"/>
        <v>0</v>
      </c>
    </row>
    <row r="459" spans="1:18" x14ac:dyDescent="0.3">
      <c r="A459" t="s">
        <v>11</v>
      </c>
      <c r="B459" t="s">
        <v>74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6" t="b">
        <f>ISNUMBER(financials[[#This Row],[Date]])</f>
        <v>1</v>
      </c>
      <c r="O459" s="8">
        <v>10</v>
      </c>
      <c r="P459" s="5" t="s">
        <v>79</v>
      </c>
      <c r="Q459" s="7" t="s">
        <v>14</v>
      </c>
      <c r="R459" s="5">
        <f t="shared" si="7"/>
        <v>0</v>
      </c>
    </row>
    <row r="460" spans="1:18" x14ac:dyDescent="0.3">
      <c r="A460" t="s">
        <v>9</v>
      </c>
      <c r="B460" t="s">
        <v>74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6" t="b">
        <f>ISNUMBER(financials[[#This Row],[Date]])</f>
        <v>1</v>
      </c>
      <c r="O460" s="8">
        <v>4</v>
      </c>
      <c r="P460" s="5" t="s">
        <v>24</v>
      </c>
      <c r="Q460" s="7" t="s">
        <v>15</v>
      </c>
      <c r="R460" s="5">
        <f t="shared" si="7"/>
        <v>0</v>
      </c>
    </row>
    <row r="461" spans="1:18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6" t="b">
        <f>ISNUMBER(financials[[#This Row],[Date]])</f>
        <v>1</v>
      </c>
      <c r="O461" s="8">
        <v>12</v>
      </c>
      <c r="P461" s="5" t="s">
        <v>81</v>
      </c>
      <c r="Q461" s="7" t="s">
        <v>14</v>
      </c>
      <c r="R461" s="5">
        <f t="shared" si="7"/>
        <v>0</v>
      </c>
    </row>
    <row r="462" spans="1:18" x14ac:dyDescent="0.3">
      <c r="A462" t="s">
        <v>10</v>
      </c>
      <c r="B462" t="s">
        <v>74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6" t="b">
        <f>ISNUMBER(financials[[#This Row],[Date]])</f>
        <v>1</v>
      </c>
      <c r="O462" s="8">
        <v>5</v>
      </c>
      <c r="P462" s="5" t="s">
        <v>25</v>
      </c>
      <c r="Q462" s="7" t="s">
        <v>15</v>
      </c>
      <c r="R462" s="5">
        <f t="shared" si="7"/>
        <v>0</v>
      </c>
    </row>
    <row r="463" spans="1:18" x14ac:dyDescent="0.3">
      <c r="A463" t="s">
        <v>9</v>
      </c>
      <c r="B463" t="s">
        <v>74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6" t="b">
        <f>ISNUMBER(financials[[#This Row],[Date]])</f>
        <v>1</v>
      </c>
      <c r="O463" s="8">
        <v>11</v>
      </c>
      <c r="P463" s="5" t="s">
        <v>80</v>
      </c>
      <c r="Q463" s="7" t="s">
        <v>14</v>
      </c>
      <c r="R463" s="5">
        <f t="shared" si="7"/>
        <v>0</v>
      </c>
    </row>
    <row r="464" spans="1:18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6" t="b">
        <f>ISNUMBER(financials[[#This Row],[Date]])</f>
        <v>1</v>
      </c>
      <c r="O464" s="8">
        <v>12</v>
      </c>
      <c r="P464" s="5" t="s">
        <v>81</v>
      </c>
      <c r="Q464" s="7" t="s">
        <v>15</v>
      </c>
      <c r="R464" s="5">
        <f t="shared" si="7"/>
        <v>0</v>
      </c>
    </row>
    <row r="465" spans="1:18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6" t="b">
        <f>ISNUMBER(financials[[#This Row],[Date]])</f>
        <v>1</v>
      </c>
      <c r="O465" s="8">
        <v>3</v>
      </c>
      <c r="P465" s="5" t="s">
        <v>82</v>
      </c>
      <c r="Q465" s="7" t="s">
        <v>15</v>
      </c>
      <c r="R465" s="5">
        <f t="shared" si="7"/>
        <v>0</v>
      </c>
    </row>
    <row r="466" spans="1:18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6" t="b">
        <f>ISNUMBER(financials[[#This Row],[Date]])</f>
        <v>1</v>
      </c>
      <c r="O466" s="8">
        <v>5</v>
      </c>
      <c r="P466" s="5" t="s">
        <v>25</v>
      </c>
      <c r="Q466" s="7" t="s">
        <v>15</v>
      </c>
      <c r="R466" s="5">
        <f t="shared" si="7"/>
        <v>0</v>
      </c>
    </row>
    <row r="467" spans="1:18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6" t="b">
        <f>ISNUMBER(financials[[#This Row],[Date]])</f>
        <v>1</v>
      </c>
      <c r="O467" s="8">
        <v>10</v>
      </c>
      <c r="P467" s="5" t="s">
        <v>79</v>
      </c>
      <c r="Q467" s="7" t="s">
        <v>14</v>
      </c>
      <c r="R467" s="5">
        <f t="shared" si="7"/>
        <v>0</v>
      </c>
    </row>
    <row r="468" spans="1:18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6" t="b">
        <f>ISNUMBER(financials[[#This Row],[Date]])</f>
        <v>1</v>
      </c>
      <c r="O468" s="8">
        <v>10</v>
      </c>
      <c r="P468" s="5" t="s">
        <v>79</v>
      </c>
      <c r="Q468" s="7" t="s">
        <v>15</v>
      </c>
      <c r="R468" s="5">
        <f t="shared" si="7"/>
        <v>0</v>
      </c>
    </row>
    <row r="469" spans="1:18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6" t="b">
        <f>ISNUMBER(financials[[#This Row],[Date]])</f>
        <v>1</v>
      </c>
      <c r="O469" s="8">
        <v>1</v>
      </c>
      <c r="P469" s="5" t="s">
        <v>76</v>
      </c>
      <c r="Q469" s="7" t="s">
        <v>15</v>
      </c>
      <c r="R469" s="5">
        <f t="shared" si="7"/>
        <v>0</v>
      </c>
    </row>
    <row r="470" spans="1:18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6" t="b">
        <f>ISNUMBER(financials[[#This Row],[Date]])</f>
        <v>1</v>
      </c>
      <c r="O470" s="8">
        <v>4</v>
      </c>
      <c r="P470" s="5" t="s">
        <v>24</v>
      </c>
      <c r="Q470" s="7" t="s">
        <v>15</v>
      </c>
      <c r="R470" s="5">
        <f t="shared" si="7"/>
        <v>0</v>
      </c>
    </row>
    <row r="471" spans="1:18" x14ac:dyDescent="0.3">
      <c r="A471" t="s">
        <v>8</v>
      </c>
      <c r="B471" t="s">
        <v>74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6" t="b">
        <f>ISNUMBER(financials[[#This Row],[Date]])</f>
        <v>1</v>
      </c>
      <c r="O471" s="8">
        <v>5</v>
      </c>
      <c r="P471" s="5" t="s">
        <v>25</v>
      </c>
      <c r="Q471" s="7" t="s">
        <v>15</v>
      </c>
      <c r="R471" s="5">
        <f t="shared" si="7"/>
        <v>0</v>
      </c>
    </row>
    <row r="472" spans="1:18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6" t="b">
        <f>ISNUMBER(financials[[#This Row],[Date]])</f>
        <v>1</v>
      </c>
      <c r="O472" s="8">
        <v>7</v>
      </c>
      <c r="P472" s="5" t="s">
        <v>27</v>
      </c>
      <c r="Q472" s="7" t="s">
        <v>15</v>
      </c>
      <c r="R472" s="5">
        <f t="shared" si="7"/>
        <v>0</v>
      </c>
    </row>
    <row r="473" spans="1:18" x14ac:dyDescent="0.3">
      <c r="A473" t="s">
        <v>9</v>
      </c>
      <c r="B473" t="s">
        <v>74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6" t="b">
        <f>ISNUMBER(financials[[#This Row],[Date]])</f>
        <v>1</v>
      </c>
      <c r="O473" s="8">
        <v>9</v>
      </c>
      <c r="P473" s="5" t="s">
        <v>78</v>
      </c>
      <c r="Q473" s="7" t="s">
        <v>15</v>
      </c>
      <c r="R473" s="5">
        <f t="shared" si="7"/>
        <v>0</v>
      </c>
    </row>
    <row r="474" spans="1:18" x14ac:dyDescent="0.3">
      <c r="A474" t="s">
        <v>7</v>
      </c>
      <c r="B474" t="s">
        <v>74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6" t="b">
        <f>ISNUMBER(financials[[#This Row],[Date]])</f>
        <v>1</v>
      </c>
      <c r="O474" s="8">
        <v>10</v>
      </c>
      <c r="P474" s="5" t="s">
        <v>79</v>
      </c>
      <c r="Q474" s="7" t="s">
        <v>14</v>
      </c>
      <c r="R474" s="5">
        <f t="shared" si="7"/>
        <v>0</v>
      </c>
    </row>
    <row r="475" spans="1:18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6" t="b">
        <f>ISNUMBER(financials[[#This Row],[Date]])</f>
        <v>1</v>
      </c>
      <c r="O475" s="8">
        <v>10</v>
      </c>
      <c r="P475" s="5" t="s">
        <v>79</v>
      </c>
      <c r="Q475" s="7" t="s">
        <v>15</v>
      </c>
      <c r="R475" s="5">
        <f t="shared" si="7"/>
        <v>0</v>
      </c>
    </row>
    <row r="476" spans="1:18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6" t="b">
        <f>ISNUMBER(financials[[#This Row],[Date]])</f>
        <v>1</v>
      </c>
      <c r="O476" s="8">
        <v>11</v>
      </c>
      <c r="P476" s="5" t="s">
        <v>80</v>
      </c>
      <c r="Q476" s="7" t="s">
        <v>15</v>
      </c>
      <c r="R476" s="5">
        <f t="shared" si="7"/>
        <v>0</v>
      </c>
    </row>
    <row r="477" spans="1:18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6" t="b">
        <f>ISNUMBER(financials[[#This Row],[Date]])</f>
        <v>1</v>
      </c>
      <c r="O477" s="8">
        <v>12</v>
      </c>
      <c r="P477" s="5" t="s">
        <v>81</v>
      </c>
      <c r="Q477" s="7" t="s">
        <v>14</v>
      </c>
      <c r="R477" s="5">
        <f t="shared" si="7"/>
        <v>0</v>
      </c>
    </row>
    <row r="478" spans="1:18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6" t="b">
        <f>ISNUMBER(financials[[#This Row],[Date]])</f>
        <v>1</v>
      </c>
      <c r="O478" s="8">
        <v>12</v>
      </c>
      <c r="P478" s="5" t="s">
        <v>81</v>
      </c>
      <c r="Q478" s="7" t="s">
        <v>15</v>
      </c>
      <c r="R478" s="5">
        <f t="shared" si="7"/>
        <v>0</v>
      </c>
    </row>
    <row r="479" spans="1:18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6" t="b">
        <f>ISNUMBER(financials[[#This Row],[Date]])</f>
        <v>1</v>
      </c>
      <c r="O479" s="8">
        <v>5</v>
      </c>
      <c r="P479" s="5" t="s">
        <v>25</v>
      </c>
      <c r="Q479" s="7" t="s">
        <v>15</v>
      </c>
      <c r="R479" s="5">
        <f t="shared" si="7"/>
        <v>0</v>
      </c>
    </row>
    <row r="480" spans="1:18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6" t="b">
        <f>ISNUMBER(financials[[#This Row],[Date]])</f>
        <v>1</v>
      </c>
      <c r="O480" s="8">
        <v>7</v>
      </c>
      <c r="P480" s="5" t="s">
        <v>27</v>
      </c>
      <c r="Q480" s="7" t="s">
        <v>15</v>
      </c>
      <c r="R480" s="5">
        <f t="shared" si="7"/>
        <v>0</v>
      </c>
    </row>
    <row r="481" spans="1:18" x14ac:dyDescent="0.3">
      <c r="A481" t="s">
        <v>10</v>
      </c>
      <c r="B481" t="s">
        <v>74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6" t="b">
        <f>ISNUMBER(financials[[#This Row],[Date]])</f>
        <v>1</v>
      </c>
      <c r="O481" s="8">
        <v>8</v>
      </c>
      <c r="P481" s="5" t="s">
        <v>77</v>
      </c>
      <c r="Q481" s="7" t="s">
        <v>15</v>
      </c>
      <c r="R481" s="5">
        <f t="shared" si="7"/>
        <v>0</v>
      </c>
    </row>
    <row r="482" spans="1:18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6" t="b">
        <f>ISNUMBER(financials[[#This Row],[Date]])</f>
        <v>1</v>
      </c>
      <c r="O482" s="8">
        <v>9</v>
      </c>
      <c r="P482" s="5" t="s">
        <v>78</v>
      </c>
      <c r="Q482" s="7" t="s">
        <v>15</v>
      </c>
      <c r="R482" s="5">
        <f t="shared" si="7"/>
        <v>0</v>
      </c>
    </row>
    <row r="483" spans="1:18" x14ac:dyDescent="0.3">
      <c r="A483" t="s">
        <v>7</v>
      </c>
      <c r="B483" t="s">
        <v>74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6" t="b">
        <f>ISNUMBER(financials[[#This Row],[Date]])</f>
        <v>1</v>
      </c>
      <c r="O483" s="8">
        <v>10</v>
      </c>
      <c r="P483" s="5" t="s">
        <v>79</v>
      </c>
      <c r="Q483" s="7" t="s">
        <v>14</v>
      </c>
      <c r="R483" s="5">
        <f t="shared" si="7"/>
        <v>0</v>
      </c>
    </row>
    <row r="484" spans="1:18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6" t="b">
        <f>ISNUMBER(financials[[#This Row],[Date]])</f>
        <v>1</v>
      </c>
      <c r="O484" s="8">
        <v>10</v>
      </c>
      <c r="P484" s="5" t="s">
        <v>79</v>
      </c>
      <c r="Q484" s="7" t="s">
        <v>14</v>
      </c>
      <c r="R484" s="5">
        <f t="shared" si="7"/>
        <v>0</v>
      </c>
    </row>
    <row r="485" spans="1:18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6" t="b">
        <f>ISNUMBER(financials[[#This Row],[Date]])</f>
        <v>1</v>
      </c>
      <c r="O485" s="8">
        <v>11</v>
      </c>
      <c r="P485" s="5" t="s">
        <v>80</v>
      </c>
      <c r="Q485" s="7" t="s">
        <v>15</v>
      </c>
      <c r="R485" s="5">
        <f t="shared" si="7"/>
        <v>0</v>
      </c>
    </row>
    <row r="486" spans="1:18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6" t="b">
        <f>ISNUMBER(financials[[#This Row],[Date]])</f>
        <v>1</v>
      </c>
      <c r="O486" s="8">
        <v>12</v>
      </c>
      <c r="P486" s="5" t="s">
        <v>81</v>
      </c>
      <c r="Q486" s="7" t="s">
        <v>14</v>
      </c>
      <c r="R486" s="5">
        <f t="shared" si="7"/>
        <v>0</v>
      </c>
    </row>
    <row r="487" spans="1:18" x14ac:dyDescent="0.3">
      <c r="A487" t="s">
        <v>9</v>
      </c>
      <c r="B487" t="s">
        <v>74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6" t="b">
        <f>ISNUMBER(financials[[#This Row],[Date]])</f>
        <v>1</v>
      </c>
      <c r="O487" s="8">
        <v>1</v>
      </c>
      <c r="P487" s="5" t="s">
        <v>76</v>
      </c>
      <c r="Q487" s="7" t="s">
        <v>15</v>
      </c>
      <c r="R487" s="5">
        <f t="shared" si="7"/>
        <v>0</v>
      </c>
    </row>
    <row r="488" spans="1:18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6" t="b">
        <f>ISNUMBER(financials[[#This Row],[Date]])</f>
        <v>1</v>
      </c>
      <c r="O488" s="8">
        <v>2</v>
      </c>
      <c r="P488" s="5" t="s">
        <v>75</v>
      </c>
      <c r="Q488" s="7" t="s">
        <v>15</v>
      </c>
      <c r="R488" s="5">
        <f t="shared" si="7"/>
        <v>0</v>
      </c>
    </row>
    <row r="489" spans="1:18" x14ac:dyDescent="0.3">
      <c r="A489" t="s">
        <v>7</v>
      </c>
      <c r="B489" t="s">
        <v>74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6" t="b">
        <f>ISNUMBER(financials[[#This Row],[Date]])</f>
        <v>1</v>
      </c>
      <c r="O489" s="8">
        <v>3</v>
      </c>
      <c r="P489" s="5" t="s">
        <v>82</v>
      </c>
      <c r="Q489" s="7" t="s">
        <v>15</v>
      </c>
      <c r="R489" s="5">
        <f t="shared" si="7"/>
        <v>0</v>
      </c>
    </row>
    <row r="490" spans="1:18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6" t="b">
        <f>ISNUMBER(financials[[#This Row],[Date]])</f>
        <v>1</v>
      </c>
      <c r="O490" s="8">
        <v>4</v>
      </c>
      <c r="P490" s="5" t="s">
        <v>24</v>
      </c>
      <c r="Q490" s="7" t="s">
        <v>15</v>
      </c>
      <c r="R490" s="5">
        <f t="shared" si="7"/>
        <v>0</v>
      </c>
    </row>
    <row r="491" spans="1:18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6" t="b">
        <f>ISNUMBER(financials[[#This Row],[Date]])</f>
        <v>1</v>
      </c>
      <c r="O491" s="8">
        <v>5</v>
      </c>
      <c r="P491" s="5" t="s">
        <v>25</v>
      </c>
      <c r="Q491" s="7" t="s">
        <v>15</v>
      </c>
      <c r="R491" s="5">
        <f t="shared" si="7"/>
        <v>0</v>
      </c>
    </row>
    <row r="492" spans="1:18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6" t="b">
        <f>ISNUMBER(financials[[#This Row],[Date]])</f>
        <v>1</v>
      </c>
      <c r="O492" s="8">
        <v>8</v>
      </c>
      <c r="P492" s="5" t="s">
        <v>77</v>
      </c>
      <c r="Q492" s="7" t="s">
        <v>15</v>
      </c>
      <c r="R492" s="5">
        <f t="shared" si="7"/>
        <v>0</v>
      </c>
    </row>
    <row r="493" spans="1:18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6" t="b">
        <f>ISNUMBER(financials[[#This Row],[Date]])</f>
        <v>1</v>
      </c>
      <c r="O493" s="8">
        <v>9</v>
      </c>
      <c r="P493" s="5" t="s">
        <v>78</v>
      </c>
      <c r="Q493" s="7" t="s">
        <v>15</v>
      </c>
      <c r="R493" s="5">
        <f t="shared" si="7"/>
        <v>0</v>
      </c>
    </row>
    <row r="494" spans="1:18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6" t="b">
        <f>ISNUMBER(financials[[#This Row],[Date]])</f>
        <v>1</v>
      </c>
      <c r="O494" s="8">
        <v>12</v>
      </c>
      <c r="P494" s="5" t="s">
        <v>81</v>
      </c>
      <c r="Q494" s="7" t="s">
        <v>15</v>
      </c>
      <c r="R494" s="5">
        <f t="shared" si="7"/>
        <v>0</v>
      </c>
    </row>
    <row r="495" spans="1:18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6" t="b">
        <f>ISNUMBER(financials[[#This Row],[Date]])</f>
        <v>1</v>
      </c>
      <c r="O495" s="8">
        <v>12</v>
      </c>
      <c r="P495" s="5" t="s">
        <v>81</v>
      </c>
      <c r="Q495" s="7" t="s">
        <v>15</v>
      </c>
      <c r="R495" s="5">
        <f t="shared" si="7"/>
        <v>0</v>
      </c>
    </row>
    <row r="496" spans="1:18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6" t="b">
        <f>ISNUMBER(financials[[#This Row],[Date]])</f>
        <v>1</v>
      </c>
      <c r="O496" s="8">
        <v>10</v>
      </c>
      <c r="P496" s="5" t="s">
        <v>79</v>
      </c>
      <c r="Q496" s="7" t="s">
        <v>14</v>
      </c>
      <c r="R496" s="5">
        <f t="shared" si="7"/>
        <v>0</v>
      </c>
    </row>
    <row r="497" spans="1:18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6" t="b">
        <f>ISNUMBER(financials[[#This Row],[Date]])</f>
        <v>1</v>
      </c>
      <c r="O497" s="8">
        <v>4</v>
      </c>
      <c r="P497" s="5" t="s">
        <v>24</v>
      </c>
      <c r="Q497" s="7" t="s">
        <v>15</v>
      </c>
      <c r="R497" s="5">
        <f t="shared" si="7"/>
        <v>0</v>
      </c>
    </row>
    <row r="498" spans="1:18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6" t="b">
        <f>ISNUMBER(financials[[#This Row],[Date]])</f>
        <v>1</v>
      </c>
      <c r="O498" s="8">
        <v>10</v>
      </c>
      <c r="P498" s="5" t="s">
        <v>79</v>
      </c>
      <c r="Q498" s="7" t="s">
        <v>14</v>
      </c>
      <c r="R498" s="5">
        <f t="shared" si="7"/>
        <v>0</v>
      </c>
    </row>
    <row r="499" spans="1:18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6" t="b">
        <f>ISNUMBER(financials[[#This Row],[Date]])</f>
        <v>1</v>
      </c>
      <c r="O499" s="8">
        <v>1</v>
      </c>
      <c r="P499" s="5" t="s">
        <v>76</v>
      </c>
      <c r="Q499" s="7" t="s">
        <v>15</v>
      </c>
      <c r="R499" s="5">
        <f t="shared" si="7"/>
        <v>0</v>
      </c>
    </row>
    <row r="500" spans="1:18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6" t="b">
        <f>ISNUMBER(financials[[#This Row],[Date]])</f>
        <v>1</v>
      </c>
      <c r="O500" s="8">
        <v>10</v>
      </c>
      <c r="P500" s="5" t="s">
        <v>79</v>
      </c>
      <c r="Q500" s="7" t="s">
        <v>15</v>
      </c>
      <c r="R500" s="5">
        <f t="shared" si="7"/>
        <v>0</v>
      </c>
    </row>
    <row r="501" spans="1:18" x14ac:dyDescent="0.3">
      <c r="A501" t="s">
        <v>10</v>
      </c>
      <c r="B501" t="s">
        <v>74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6" t="b">
        <f>ISNUMBER(financials[[#This Row],[Date]])</f>
        <v>1</v>
      </c>
      <c r="O501" s="8">
        <v>3</v>
      </c>
      <c r="P501" s="5" t="s">
        <v>82</v>
      </c>
      <c r="Q501" s="7" t="s">
        <v>15</v>
      </c>
      <c r="R501" s="5">
        <f t="shared" si="7"/>
        <v>0</v>
      </c>
    </row>
    <row r="502" spans="1:18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6" t="b">
        <f>ISNUMBER(financials[[#This Row],[Date]])</f>
        <v>1</v>
      </c>
      <c r="O502" s="8">
        <v>9</v>
      </c>
      <c r="P502" s="5" t="s">
        <v>78</v>
      </c>
      <c r="Q502" s="7" t="s">
        <v>14</v>
      </c>
      <c r="R502" s="5">
        <f t="shared" si="7"/>
        <v>0</v>
      </c>
    </row>
    <row r="503" spans="1:18" x14ac:dyDescent="0.3">
      <c r="A503" t="s">
        <v>8</v>
      </c>
      <c r="B503" t="s">
        <v>74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6" t="b">
        <f>ISNUMBER(financials[[#This Row],[Date]])</f>
        <v>1</v>
      </c>
      <c r="O503" s="8">
        <v>7</v>
      </c>
      <c r="P503" s="5" t="s">
        <v>27</v>
      </c>
      <c r="Q503" s="7" t="s">
        <v>15</v>
      </c>
      <c r="R503" s="5">
        <f t="shared" si="7"/>
        <v>0</v>
      </c>
    </row>
    <row r="504" spans="1:18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6" t="b">
        <f>ISNUMBER(financials[[#This Row],[Date]])</f>
        <v>1</v>
      </c>
      <c r="O504" s="8">
        <v>10</v>
      </c>
      <c r="P504" s="5" t="s">
        <v>79</v>
      </c>
      <c r="Q504" s="7" t="s">
        <v>15</v>
      </c>
      <c r="R504" s="5">
        <f t="shared" si="7"/>
        <v>0</v>
      </c>
    </row>
    <row r="505" spans="1:18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6" t="b">
        <f>ISNUMBER(financials[[#This Row],[Date]])</f>
        <v>1</v>
      </c>
      <c r="O505" s="8">
        <v>2</v>
      </c>
      <c r="P505" s="5" t="s">
        <v>75</v>
      </c>
      <c r="Q505" s="7" t="s">
        <v>15</v>
      </c>
      <c r="R505" s="5">
        <f t="shared" si="7"/>
        <v>0</v>
      </c>
    </row>
    <row r="506" spans="1:18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6" t="b">
        <f>ISNUMBER(financials[[#This Row],[Date]])</f>
        <v>1</v>
      </c>
      <c r="O506" s="8">
        <v>3</v>
      </c>
      <c r="P506" s="5" t="s">
        <v>82</v>
      </c>
      <c r="Q506" s="7" t="s">
        <v>15</v>
      </c>
      <c r="R506" s="5">
        <f t="shared" si="7"/>
        <v>0</v>
      </c>
    </row>
    <row r="507" spans="1:18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6" t="b">
        <f>ISNUMBER(financials[[#This Row],[Date]])</f>
        <v>1</v>
      </c>
      <c r="O507" s="8">
        <v>7</v>
      </c>
      <c r="P507" s="5" t="s">
        <v>27</v>
      </c>
      <c r="Q507" s="7" t="s">
        <v>15</v>
      </c>
      <c r="R507" s="5">
        <f t="shared" si="7"/>
        <v>0</v>
      </c>
    </row>
    <row r="508" spans="1:18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6" t="b">
        <f>ISNUMBER(financials[[#This Row],[Date]])</f>
        <v>1</v>
      </c>
      <c r="O508" s="8">
        <v>10</v>
      </c>
      <c r="P508" s="5" t="s">
        <v>79</v>
      </c>
      <c r="Q508" s="7" t="s">
        <v>15</v>
      </c>
      <c r="R508" s="5">
        <f t="shared" si="7"/>
        <v>0</v>
      </c>
    </row>
    <row r="509" spans="1:18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6" t="b">
        <f>ISNUMBER(financials[[#This Row],[Date]])</f>
        <v>1</v>
      </c>
      <c r="O509" s="8">
        <v>11</v>
      </c>
      <c r="P509" s="5" t="s">
        <v>80</v>
      </c>
      <c r="Q509" s="7" t="s">
        <v>14</v>
      </c>
      <c r="R509" s="5">
        <f t="shared" si="7"/>
        <v>0</v>
      </c>
    </row>
    <row r="510" spans="1:18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6" t="b">
        <f>ISNUMBER(financials[[#This Row],[Date]])</f>
        <v>1</v>
      </c>
      <c r="O510" s="8">
        <v>11</v>
      </c>
      <c r="P510" s="5" t="s">
        <v>80</v>
      </c>
      <c r="Q510" s="7" t="s">
        <v>14</v>
      </c>
      <c r="R510" s="5">
        <f t="shared" si="7"/>
        <v>0</v>
      </c>
    </row>
    <row r="511" spans="1:18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6" t="b">
        <f>ISNUMBER(financials[[#This Row],[Date]])</f>
        <v>1</v>
      </c>
      <c r="O511" s="8">
        <v>1</v>
      </c>
      <c r="P511" s="5" t="s">
        <v>76</v>
      </c>
      <c r="Q511" s="7" t="s">
        <v>15</v>
      </c>
      <c r="R511" s="5">
        <f t="shared" si="7"/>
        <v>0</v>
      </c>
    </row>
    <row r="512" spans="1:18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6" t="b">
        <f>ISNUMBER(financials[[#This Row],[Date]])</f>
        <v>1</v>
      </c>
      <c r="O512" s="8">
        <v>10</v>
      </c>
      <c r="P512" s="5" t="s">
        <v>79</v>
      </c>
      <c r="Q512" s="7" t="s">
        <v>14</v>
      </c>
      <c r="R512" s="5">
        <f t="shared" si="7"/>
        <v>0</v>
      </c>
    </row>
    <row r="513" spans="1:18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6" t="b">
        <f>ISNUMBER(financials[[#This Row],[Date]])</f>
        <v>1</v>
      </c>
      <c r="O513" s="8">
        <v>12</v>
      </c>
      <c r="P513" s="5" t="s">
        <v>81</v>
      </c>
      <c r="Q513" s="7" t="s">
        <v>15</v>
      </c>
      <c r="R513" s="5">
        <f t="shared" si="7"/>
        <v>0</v>
      </c>
    </row>
    <row r="514" spans="1:18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6" t="b">
        <f>ISNUMBER(financials[[#This Row],[Date]])</f>
        <v>1</v>
      </c>
      <c r="O514" s="8">
        <v>1</v>
      </c>
      <c r="P514" s="5" t="s">
        <v>76</v>
      </c>
      <c r="Q514" s="7" t="s">
        <v>15</v>
      </c>
      <c r="R514" s="5">
        <f t="shared" ref="R514:R577" si="8">COUNTIFS(A:A,A514,B:B,B514,C:C,C514,D:D,D514,E:E,E514,F:F,F514,G:G,G514,H:H,H514,I:I,I514,J:J,J514,K:K,K514,L:L,L514,M:M,M514,N:N,O514,O:O,P514,P:P,Q514)</f>
        <v>0</v>
      </c>
    </row>
    <row r="515" spans="1:18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6" t="b">
        <f>ISNUMBER(financials[[#This Row],[Date]])</f>
        <v>1</v>
      </c>
      <c r="O515" s="8">
        <v>3</v>
      </c>
      <c r="P515" s="5" t="s">
        <v>82</v>
      </c>
      <c r="Q515" s="7" t="s">
        <v>15</v>
      </c>
      <c r="R515" s="5">
        <f t="shared" si="8"/>
        <v>0</v>
      </c>
    </row>
    <row r="516" spans="1:18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6" t="b">
        <f>ISNUMBER(financials[[#This Row],[Date]])</f>
        <v>1</v>
      </c>
      <c r="O516" s="8">
        <v>7</v>
      </c>
      <c r="P516" s="5" t="s">
        <v>27</v>
      </c>
      <c r="Q516" s="7" t="s">
        <v>15</v>
      </c>
      <c r="R516" s="5">
        <f t="shared" si="8"/>
        <v>0</v>
      </c>
    </row>
    <row r="517" spans="1:18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6" t="b">
        <f>ISNUMBER(financials[[#This Row],[Date]])</f>
        <v>1</v>
      </c>
      <c r="O517" s="8">
        <v>7</v>
      </c>
      <c r="P517" s="5" t="s">
        <v>27</v>
      </c>
      <c r="Q517" s="7" t="s">
        <v>15</v>
      </c>
      <c r="R517" s="5">
        <f t="shared" si="8"/>
        <v>0</v>
      </c>
    </row>
    <row r="518" spans="1:18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6" t="b">
        <f>ISNUMBER(financials[[#This Row],[Date]])</f>
        <v>1</v>
      </c>
      <c r="O518" s="8">
        <v>7</v>
      </c>
      <c r="P518" s="5" t="s">
        <v>27</v>
      </c>
      <c r="Q518" s="7" t="s">
        <v>15</v>
      </c>
      <c r="R518" s="5">
        <f t="shared" si="8"/>
        <v>0</v>
      </c>
    </row>
    <row r="519" spans="1:18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6" t="b">
        <f>ISNUMBER(financials[[#This Row],[Date]])</f>
        <v>1</v>
      </c>
      <c r="O519" s="8">
        <v>8</v>
      </c>
      <c r="P519" s="5" t="s">
        <v>77</v>
      </c>
      <c r="Q519" s="7" t="s">
        <v>15</v>
      </c>
      <c r="R519" s="5">
        <f t="shared" si="8"/>
        <v>0</v>
      </c>
    </row>
    <row r="520" spans="1:18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6" t="b">
        <f>ISNUMBER(financials[[#This Row],[Date]])</f>
        <v>1</v>
      </c>
      <c r="O520" s="8">
        <v>8</v>
      </c>
      <c r="P520" s="5" t="s">
        <v>77</v>
      </c>
      <c r="Q520" s="7" t="s">
        <v>15</v>
      </c>
      <c r="R520" s="5">
        <f t="shared" si="8"/>
        <v>0</v>
      </c>
    </row>
    <row r="521" spans="1:18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6" t="b">
        <f>ISNUMBER(financials[[#This Row],[Date]])</f>
        <v>1</v>
      </c>
      <c r="O521" s="8">
        <v>10</v>
      </c>
      <c r="P521" s="5" t="s">
        <v>79</v>
      </c>
      <c r="Q521" s="7" t="s">
        <v>15</v>
      </c>
      <c r="R521" s="5">
        <f t="shared" si="8"/>
        <v>0</v>
      </c>
    </row>
    <row r="522" spans="1:18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6" t="b">
        <f>ISNUMBER(financials[[#This Row],[Date]])</f>
        <v>1</v>
      </c>
      <c r="O522" s="8">
        <v>10</v>
      </c>
      <c r="P522" s="5" t="s">
        <v>79</v>
      </c>
      <c r="Q522" s="7" t="s">
        <v>14</v>
      </c>
      <c r="R522" s="5">
        <f t="shared" si="8"/>
        <v>0</v>
      </c>
    </row>
    <row r="523" spans="1:18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6" t="b">
        <f>ISNUMBER(financials[[#This Row],[Date]])</f>
        <v>1</v>
      </c>
      <c r="O523" s="8">
        <v>11</v>
      </c>
      <c r="P523" s="5" t="s">
        <v>80</v>
      </c>
      <c r="Q523" s="7" t="s">
        <v>15</v>
      </c>
      <c r="R523" s="5">
        <f t="shared" si="8"/>
        <v>0</v>
      </c>
    </row>
    <row r="524" spans="1:18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6" t="b">
        <f>ISNUMBER(financials[[#This Row],[Date]])</f>
        <v>1</v>
      </c>
      <c r="O524" s="8">
        <v>9</v>
      </c>
      <c r="P524" s="5" t="s">
        <v>78</v>
      </c>
      <c r="Q524" s="7" t="s">
        <v>14</v>
      </c>
      <c r="R524" s="5">
        <f t="shared" si="8"/>
        <v>0</v>
      </c>
    </row>
    <row r="525" spans="1:18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6" t="b">
        <f>ISNUMBER(financials[[#This Row],[Date]])</f>
        <v>1</v>
      </c>
      <c r="O525" s="8">
        <v>9</v>
      </c>
      <c r="P525" s="5" t="s">
        <v>78</v>
      </c>
      <c r="Q525" s="7" t="s">
        <v>14</v>
      </c>
      <c r="R525" s="5">
        <f t="shared" si="8"/>
        <v>0</v>
      </c>
    </row>
    <row r="526" spans="1:18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6" t="b">
        <f>ISNUMBER(financials[[#This Row],[Date]])</f>
        <v>1</v>
      </c>
      <c r="O526" s="8">
        <v>10</v>
      </c>
      <c r="P526" s="5" t="s">
        <v>79</v>
      </c>
      <c r="Q526" s="7" t="s">
        <v>14</v>
      </c>
      <c r="R526" s="5">
        <f t="shared" si="8"/>
        <v>0</v>
      </c>
    </row>
    <row r="527" spans="1:18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6" t="b">
        <f>ISNUMBER(financials[[#This Row],[Date]])</f>
        <v>1</v>
      </c>
      <c r="O527" s="8">
        <v>11</v>
      </c>
      <c r="P527" s="5" t="s">
        <v>80</v>
      </c>
      <c r="Q527" s="7" t="s">
        <v>15</v>
      </c>
      <c r="R527" s="5">
        <f t="shared" si="8"/>
        <v>0</v>
      </c>
    </row>
    <row r="528" spans="1:18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6" t="b">
        <f>ISNUMBER(financials[[#This Row],[Date]])</f>
        <v>1</v>
      </c>
      <c r="O528" s="8">
        <v>1</v>
      </c>
      <c r="P528" s="5" t="s">
        <v>76</v>
      </c>
      <c r="Q528" s="7" t="s">
        <v>15</v>
      </c>
      <c r="R528" s="5">
        <f t="shared" si="8"/>
        <v>0</v>
      </c>
    </row>
    <row r="529" spans="1:18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6" t="b">
        <f>ISNUMBER(financials[[#This Row],[Date]])</f>
        <v>1</v>
      </c>
      <c r="O529" s="8">
        <v>1</v>
      </c>
      <c r="P529" s="5" t="s">
        <v>76</v>
      </c>
      <c r="Q529" s="7" t="s">
        <v>15</v>
      </c>
      <c r="R529" s="5">
        <f t="shared" si="8"/>
        <v>0</v>
      </c>
    </row>
    <row r="530" spans="1:18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6" t="b">
        <f>ISNUMBER(financials[[#This Row],[Date]])</f>
        <v>1</v>
      </c>
      <c r="O530" s="8">
        <v>11</v>
      </c>
      <c r="P530" s="5" t="s">
        <v>80</v>
      </c>
      <c r="Q530" s="7" t="s">
        <v>14</v>
      </c>
      <c r="R530" s="5">
        <f t="shared" si="8"/>
        <v>0</v>
      </c>
    </row>
    <row r="531" spans="1:18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6" t="b">
        <f>ISNUMBER(financials[[#This Row],[Date]])</f>
        <v>1</v>
      </c>
      <c r="O531" s="8">
        <v>1</v>
      </c>
      <c r="P531" s="5" t="s">
        <v>76</v>
      </c>
      <c r="Q531" s="7" t="s">
        <v>15</v>
      </c>
      <c r="R531" s="5">
        <f t="shared" si="8"/>
        <v>0</v>
      </c>
    </row>
    <row r="532" spans="1:18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6" t="b">
        <f>ISNUMBER(financials[[#This Row],[Date]])</f>
        <v>1</v>
      </c>
      <c r="O532" s="8">
        <v>1</v>
      </c>
      <c r="P532" s="5" t="s">
        <v>76</v>
      </c>
      <c r="Q532" s="7" t="s">
        <v>15</v>
      </c>
      <c r="R532" s="5">
        <f t="shared" si="8"/>
        <v>0</v>
      </c>
    </row>
    <row r="533" spans="1:18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6" t="b">
        <f>ISNUMBER(financials[[#This Row],[Date]])</f>
        <v>1</v>
      </c>
      <c r="O533" s="8">
        <v>5</v>
      </c>
      <c r="P533" s="5" t="s">
        <v>25</v>
      </c>
      <c r="Q533" s="7" t="s">
        <v>15</v>
      </c>
      <c r="R533" s="5">
        <f t="shared" si="8"/>
        <v>0</v>
      </c>
    </row>
    <row r="534" spans="1:18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6" t="b">
        <f>ISNUMBER(financials[[#This Row],[Date]])</f>
        <v>1</v>
      </c>
      <c r="O534" s="8">
        <v>9</v>
      </c>
      <c r="P534" s="5" t="s">
        <v>78</v>
      </c>
      <c r="Q534" s="7" t="s">
        <v>14</v>
      </c>
      <c r="R534" s="5">
        <f t="shared" si="8"/>
        <v>0</v>
      </c>
    </row>
    <row r="535" spans="1:18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6" t="b">
        <f>ISNUMBER(financials[[#This Row],[Date]])</f>
        <v>1</v>
      </c>
      <c r="O535" s="8">
        <v>10</v>
      </c>
      <c r="P535" s="5" t="s">
        <v>79</v>
      </c>
      <c r="Q535" s="7" t="s">
        <v>14</v>
      </c>
      <c r="R535" s="5">
        <f t="shared" si="8"/>
        <v>0</v>
      </c>
    </row>
    <row r="536" spans="1:18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6" t="b">
        <f>ISNUMBER(financials[[#This Row],[Date]])</f>
        <v>1</v>
      </c>
      <c r="O536" s="8">
        <v>12</v>
      </c>
      <c r="P536" s="5" t="s">
        <v>81</v>
      </c>
      <c r="Q536" s="7" t="s">
        <v>15</v>
      </c>
      <c r="R536" s="5">
        <f t="shared" si="8"/>
        <v>0</v>
      </c>
    </row>
    <row r="537" spans="1:18" x14ac:dyDescent="0.3">
      <c r="A537" t="s">
        <v>10</v>
      </c>
      <c r="B537" t="s">
        <v>74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6" t="b">
        <f>ISNUMBER(financials[[#This Row],[Date]])</f>
        <v>1</v>
      </c>
      <c r="O537" s="8">
        <v>9</v>
      </c>
      <c r="P537" s="5" t="s">
        <v>78</v>
      </c>
      <c r="Q537" s="7" t="s">
        <v>14</v>
      </c>
      <c r="R537" s="5">
        <f t="shared" si="8"/>
        <v>0</v>
      </c>
    </row>
    <row r="538" spans="1:18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6" t="b">
        <f>ISNUMBER(financials[[#This Row],[Date]])</f>
        <v>1</v>
      </c>
      <c r="O538" s="8">
        <v>6</v>
      </c>
      <c r="P538" s="5" t="s">
        <v>26</v>
      </c>
      <c r="Q538" s="7" t="s">
        <v>15</v>
      </c>
      <c r="R538" s="5">
        <f t="shared" si="8"/>
        <v>0</v>
      </c>
    </row>
    <row r="539" spans="1:18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6" t="b">
        <f>ISNUMBER(financials[[#This Row],[Date]])</f>
        <v>1</v>
      </c>
      <c r="O539" s="8">
        <v>9</v>
      </c>
      <c r="P539" s="5" t="s">
        <v>78</v>
      </c>
      <c r="Q539" s="7" t="s">
        <v>14</v>
      </c>
      <c r="R539" s="5">
        <f t="shared" si="8"/>
        <v>0</v>
      </c>
    </row>
    <row r="540" spans="1:18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6" t="b">
        <f>ISNUMBER(financials[[#This Row],[Date]])</f>
        <v>1</v>
      </c>
      <c r="O540" s="8">
        <v>10</v>
      </c>
      <c r="P540" s="5" t="s">
        <v>79</v>
      </c>
      <c r="Q540" s="7" t="s">
        <v>15</v>
      </c>
      <c r="R540" s="5">
        <f t="shared" si="8"/>
        <v>0</v>
      </c>
    </row>
    <row r="541" spans="1:18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6" t="b">
        <f>ISNUMBER(financials[[#This Row],[Date]])</f>
        <v>1</v>
      </c>
      <c r="O541" s="8">
        <v>11</v>
      </c>
      <c r="P541" s="5" t="s">
        <v>80</v>
      </c>
      <c r="Q541" s="7" t="s">
        <v>15</v>
      </c>
      <c r="R541" s="5">
        <f t="shared" si="8"/>
        <v>0</v>
      </c>
    </row>
    <row r="542" spans="1:18" x14ac:dyDescent="0.3">
      <c r="A542" t="s">
        <v>8</v>
      </c>
      <c r="B542" t="s">
        <v>74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6" t="b">
        <f>ISNUMBER(financials[[#This Row],[Date]])</f>
        <v>1</v>
      </c>
      <c r="O542" s="8">
        <v>3</v>
      </c>
      <c r="P542" s="5" t="s">
        <v>82</v>
      </c>
      <c r="Q542" s="7" t="s">
        <v>15</v>
      </c>
      <c r="R542" s="5">
        <f t="shared" si="8"/>
        <v>0</v>
      </c>
    </row>
    <row r="543" spans="1:18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6" t="b">
        <f>ISNUMBER(financials[[#This Row],[Date]])</f>
        <v>1</v>
      </c>
      <c r="O543" s="8">
        <v>4</v>
      </c>
      <c r="P543" s="5" t="s">
        <v>24</v>
      </c>
      <c r="Q543" s="7" t="s">
        <v>15</v>
      </c>
      <c r="R543" s="5">
        <f t="shared" si="8"/>
        <v>0</v>
      </c>
    </row>
    <row r="544" spans="1:18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6" t="b">
        <f>ISNUMBER(financials[[#This Row],[Date]])</f>
        <v>1</v>
      </c>
      <c r="O544" s="8">
        <v>9</v>
      </c>
      <c r="P544" s="5" t="s">
        <v>78</v>
      </c>
      <c r="Q544" s="7" t="s">
        <v>15</v>
      </c>
      <c r="R544" s="5">
        <f t="shared" si="8"/>
        <v>0</v>
      </c>
    </row>
    <row r="545" spans="1:18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6" t="b">
        <f>ISNUMBER(financials[[#This Row],[Date]])</f>
        <v>1</v>
      </c>
      <c r="O545" s="8">
        <v>10</v>
      </c>
      <c r="P545" s="5" t="s">
        <v>79</v>
      </c>
      <c r="Q545" s="7" t="s">
        <v>15</v>
      </c>
      <c r="R545" s="5">
        <f t="shared" si="8"/>
        <v>0</v>
      </c>
    </row>
    <row r="546" spans="1:18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6" t="b">
        <f>ISNUMBER(financials[[#This Row],[Date]])</f>
        <v>1</v>
      </c>
      <c r="O546" s="8">
        <v>10</v>
      </c>
      <c r="P546" s="5" t="s">
        <v>79</v>
      </c>
      <c r="Q546" s="7" t="s">
        <v>14</v>
      </c>
      <c r="R546" s="5">
        <f t="shared" si="8"/>
        <v>0</v>
      </c>
    </row>
    <row r="547" spans="1:18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6" t="b">
        <f>ISNUMBER(financials[[#This Row],[Date]])</f>
        <v>1</v>
      </c>
      <c r="O547" s="8">
        <v>12</v>
      </c>
      <c r="P547" s="5" t="s">
        <v>81</v>
      </c>
      <c r="Q547" s="7" t="s">
        <v>14</v>
      </c>
      <c r="R547" s="5">
        <f t="shared" si="8"/>
        <v>0</v>
      </c>
    </row>
    <row r="548" spans="1:18" x14ac:dyDescent="0.3">
      <c r="A548" t="s">
        <v>7</v>
      </c>
      <c r="B548" t="s">
        <v>74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6" t="b">
        <f>ISNUMBER(financials[[#This Row],[Date]])</f>
        <v>1</v>
      </c>
      <c r="O548" s="8">
        <v>1</v>
      </c>
      <c r="P548" s="5" t="s">
        <v>76</v>
      </c>
      <c r="Q548" s="7" t="s">
        <v>15</v>
      </c>
      <c r="R548" s="5">
        <f t="shared" si="8"/>
        <v>0</v>
      </c>
    </row>
    <row r="549" spans="1:18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6" t="b">
        <f>ISNUMBER(financials[[#This Row],[Date]])</f>
        <v>1</v>
      </c>
      <c r="O549" s="8">
        <v>6</v>
      </c>
      <c r="P549" s="5" t="s">
        <v>26</v>
      </c>
      <c r="Q549" s="7" t="s">
        <v>15</v>
      </c>
      <c r="R549" s="5">
        <f t="shared" si="8"/>
        <v>0</v>
      </c>
    </row>
    <row r="550" spans="1:18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6" t="b">
        <f>ISNUMBER(financials[[#This Row],[Date]])</f>
        <v>1</v>
      </c>
      <c r="O550" s="8">
        <v>10</v>
      </c>
      <c r="P550" s="5" t="s">
        <v>79</v>
      </c>
      <c r="Q550" s="7" t="s">
        <v>15</v>
      </c>
      <c r="R550" s="5">
        <f t="shared" si="8"/>
        <v>0</v>
      </c>
    </row>
    <row r="551" spans="1:18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6" t="b">
        <f>ISNUMBER(financials[[#This Row],[Date]])</f>
        <v>1</v>
      </c>
      <c r="O551" s="8">
        <v>10</v>
      </c>
      <c r="P551" s="5" t="s">
        <v>79</v>
      </c>
      <c r="Q551" s="7" t="s">
        <v>15</v>
      </c>
      <c r="R551" s="5">
        <f t="shared" si="8"/>
        <v>0</v>
      </c>
    </row>
    <row r="552" spans="1:18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6" t="b">
        <f>ISNUMBER(financials[[#This Row],[Date]])</f>
        <v>1</v>
      </c>
      <c r="O552" s="8">
        <v>10</v>
      </c>
      <c r="P552" s="5" t="s">
        <v>79</v>
      </c>
      <c r="Q552" s="7" t="s">
        <v>14</v>
      </c>
      <c r="R552" s="5">
        <f t="shared" si="8"/>
        <v>0</v>
      </c>
    </row>
    <row r="553" spans="1:18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6" t="b">
        <f>ISNUMBER(financials[[#This Row],[Date]])</f>
        <v>1</v>
      </c>
      <c r="O553" s="8">
        <v>11</v>
      </c>
      <c r="P553" s="5" t="s">
        <v>80</v>
      </c>
      <c r="Q553" s="7" t="s">
        <v>15</v>
      </c>
      <c r="R553" s="5">
        <f t="shared" si="8"/>
        <v>0</v>
      </c>
    </row>
    <row r="554" spans="1:18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6" t="b">
        <f>ISNUMBER(financials[[#This Row],[Date]])</f>
        <v>1</v>
      </c>
      <c r="O554" s="8">
        <v>11</v>
      </c>
      <c r="P554" s="5" t="s">
        <v>80</v>
      </c>
      <c r="Q554" s="7" t="s">
        <v>15</v>
      </c>
      <c r="R554" s="5">
        <f t="shared" si="8"/>
        <v>0</v>
      </c>
    </row>
    <row r="555" spans="1:18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6" t="b">
        <f>ISNUMBER(financials[[#This Row],[Date]])</f>
        <v>1</v>
      </c>
      <c r="O555" s="8">
        <v>11</v>
      </c>
      <c r="P555" s="5" t="s">
        <v>80</v>
      </c>
      <c r="Q555" s="7" t="s">
        <v>15</v>
      </c>
      <c r="R555" s="5">
        <f t="shared" si="8"/>
        <v>0</v>
      </c>
    </row>
    <row r="556" spans="1:18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6" t="b">
        <f>ISNUMBER(financials[[#This Row],[Date]])</f>
        <v>1</v>
      </c>
      <c r="O556" s="8">
        <v>11</v>
      </c>
      <c r="P556" s="5" t="s">
        <v>80</v>
      </c>
      <c r="Q556" s="7" t="s">
        <v>15</v>
      </c>
      <c r="R556" s="5">
        <f t="shared" si="8"/>
        <v>0</v>
      </c>
    </row>
    <row r="557" spans="1:18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6" t="b">
        <f>ISNUMBER(financials[[#This Row],[Date]])</f>
        <v>1</v>
      </c>
      <c r="O557" s="8">
        <v>12</v>
      </c>
      <c r="P557" s="5" t="s">
        <v>81</v>
      </c>
      <c r="Q557" s="7" t="s">
        <v>14</v>
      </c>
      <c r="R557" s="5">
        <f t="shared" si="8"/>
        <v>0</v>
      </c>
    </row>
    <row r="558" spans="1:18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6" t="b">
        <f>ISNUMBER(financials[[#This Row],[Date]])</f>
        <v>1</v>
      </c>
      <c r="O558" s="8">
        <v>12</v>
      </c>
      <c r="P558" s="5" t="s">
        <v>81</v>
      </c>
      <c r="Q558" s="7" t="s">
        <v>15</v>
      </c>
      <c r="R558" s="5">
        <f t="shared" si="8"/>
        <v>0</v>
      </c>
    </row>
    <row r="559" spans="1:18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6" t="b">
        <f>ISNUMBER(financials[[#This Row],[Date]])</f>
        <v>1</v>
      </c>
      <c r="O559" s="8">
        <v>7</v>
      </c>
      <c r="P559" s="5" t="s">
        <v>27</v>
      </c>
      <c r="Q559" s="7" t="s">
        <v>15</v>
      </c>
      <c r="R559" s="5">
        <f t="shared" si="8"/>
        <v>0</v>
      </c>
    </row>
    <row r="560" spans="1:18" x14ac:dyDescent="0.3">
      <c r="A560" t="s">
        <v>10</v>
      </c>
      <c r="B560" t="s">
        <v>74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6" t="b">
        <f>ISNUMBER(financials[[#This Row],[Date]])</f>
        <v>1</v>
      </c>
      <c r="O560" s="8">
        <v>10</v>
      </c>
      <c r="P560" s="5" t="s">
        <v>79</v>
      </c>
      <c r="Q560" s="7" t="s">
        <v>15</v>
      </c>
      <c r="R560" s="5">
        <f t="shared" si="8"/>
        <v>0</v>
      </c>
    </row>
    <row r="561" spans="1:18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6" t="b">
        <f>ISNUMBER(financials[[#This Row],[Date]])</f>
        <v>1</v>
      </c>
      <c r="O561" s="8">
        <v>10</v>
      </c>
      <c r="P561" s="5" t="s">
        <v>79</v>
      </c>
      <c r="Q561" s="7" t="s">
        <v>15</v>
      </c>
      <c r="R561" s="5">
        <f t="shared" si="8"/>
        <v>0</v>
      </c>
    </row>
    <row r="562" spans="1:18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6" t="b">
        <f>ISNUMBER(financials[[#This Row],[Date]])</f>
        <v>1</v>
      </c>
      <c r="O562" s="8">
        <v>5</v>
      </c>
      <c r="P562" s="5" t="s">
        <v>25</v>
      </c>
      <c r="Q562" s="7" t="s">
        <v>15</v>
      </c>
      <c r="R562" s="5">
        <f t="shared" si="8"/>
        <v>0</v>
      </c>
    </row>
    <row r="563" spans="1:18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6" t="b">
        <f>ISNUMBER(financials[[#This Row],[Date]])</f>
        <v>1</v>
      </c>
      <c r="O563" s="8">
        <v>7</v>
      </c>
      <c r="P563" s="5" t="s">
        <v>27</v>
      </c>
      <c r="Q563" s="7" t="s">
        <v>15</v>
      </c>
      <c r="R563" s="5">
        <f t="shared" si="8"/>
        <v>0</v>
      </c>
    </row>
    <row r="564" spans="1:18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6" t="b">
        <f>ISNUMBER(financials[[#This Row],[Date]])</f>
        <v>1</v>
      </c>
      <c r="O564" s="8">
        <v>9</v>
      </c>
      <c r="P564" s="5" t="s">
        <v>78</v>
      </c>
      <c r="Q564" s="7" t="s">
        <v>14</v>
      </c>
      <c r="R564" s="5">
        <f t="shared" si="8"/>
        <v>0</v>
      </c>
    </row>
    <row r="565" spans="1:18" x14ac:dyDescent="0.3">
      <c r="A565" t="s">
        <v>10</v>
      </c>
      <c r="B565" t="s">
        <v>74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6" t="b">
        <f>ISNUMBER(financials[[#This Row],[Date]])</f>
        <v>1</v>
      </c>
      <c r="O565" s="8">
        <v>10</v>
      </c>
      <c r="P565" s="5" t="s">
        <v>79</v>
      </c>
      <c r="Q565" s="7" t="s">
        <v>15</v>
      </c>
      <c r="R565" s="5">
        <f t="shared" si="8"/>
        <v>0</v>
      </c>
    </row>
    <row r="566" spans="1:18" x14ac:dyDescent="0.3">
      <c r="A566" t="s">
        <v>9</v>
      </c>
      <c r="B566" t="s">
        <v>74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6" t="b">
        <f>ISNUMBER(financials[[#This Row],[Date]])</f>
        <v>1</v>
      </c>
      <c r="O566" s="8">
        <v>11</v>
      </c>
      <c r="P566" s="5" t="s">
        <v>80</v>
      </c>
      <c r="Q566" s="7" t="s">
        <v>15</v>
      </c>
      <c r="R566" s="5">
        <f t="shared" si="8"/>
        <v>0</v>
      </c>
    </row>
    <row r="567" spans="1:18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6" t="b">
        <f>ISNUMBER(financials[[#This Row],[Date]])</f>
        <v>1</v>
      </c>
      <c r="O567" s="8">
        <v>12</v>
      </c>
      <c r="P567" s="5" t="s">
        <v>81</v>
      </c>
      <c r="Q567" s="7" t="s">
        <v>15</v>
      </c>
      <c r="R567" s="5">
        <f t="shared" si="8"/>
        <v>0</v>
      </c>
    </row>
    <row r="568" spans="1:18" x14ac:dyDescent="0.3">
      <c r="A568" t="s">
        <v>10</v>
      </c>
      <c r="B568" t="s">
        <v>74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6" t="b">
        <f>ISNUMBER(financials[[#This Row],[Date]])</f>
        <v>1</v>
      </c>
      <c r="O568" s="8">
        <v>2</v>
      </c>
      <c r="P568" s="5" t="s">
        <v>75</v>
      </c>
      <c r="Q568" s="7" t="s">
        <v>15</v>
      </c>
      <c r="R568" s="5">
        <f t="shared" si="8"/>
        <v>0</v>
      </c>
    </row>
    <row r="569" spans="1:18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6" t="b">
        <f>ISNUMBER(financials[[#This Row],[Date]])</f>
        <v>1</v>
      </c>
      <c r="O569" s="8">
        <v>7</v>
      </c>
      <c r="P569" s="5" t="s">
        <v>27</v>
      </c>
      <c r="Q569" s="7" t="s">
        <v>15</v>
      </c>
      <c r="R569" s="5">
        <f t="shared" si="8"/>
        <v>0</v>
      </c>
    </row>
    <row r="570" spans="1:18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6" t="b">
        <f>ISNUMBER(financials[[#This Row],[Date]])</f>
        <v>1</v>
      </c>
      <c r="O570" s="8">
        <v>10</v>
      </c>
      <c r="P570" s="5" t="s">
        <v>79</v>
      </c>
      <c r="Q570" s="7" t="s">
        <v>15</v>
      </c>
      <c r="R570" s="5">
        <f t="shared" si="8"/>
        <v>0</v>
      </c>
    </row>
    <row r="571" spans="1:18" x14ac:dyDescent="0.3">
      <c r="A571" t="s">
        <v>8</v>
      </c>
      <c r="B571" t="s">
        <v>74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6" t="b">
        <f>ISNUMBER(financials[[#This Row],[Date]])</f>
        <v>1</v>
      </c>
      <c r="O571" s="8">
        <v>11</v>
      </c>
      <c r="P571" s="5" t="s">
        <v>80</v>
      </c>
      <c r="Q571" s="7" t="s">
        <v>14</v>
      </c>
      <c r="R571" s="5">
        <f t="shared" si="8"/>
        <v>0</v>
      </c>
    </row>
    <row r="572" spans="1:18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6" t="b">
        <f>ISNUMBER(financials[[#This Row],[Date]])</f>
        <v>1</v>
      </c>
      <c r="O572" s="8">
        <v>1</v>
      </c>
      <c r="P572" s="5" t="s">
        <v>76</v>
      </c>
      <c r="Q572" s="7" t="s">
        <v>15</v>
      </c>
      <c r="R572" s="5">
        <f t="shared" si="8"/>
        <v>0</v>
      </c>
    </row>
    <row r="573" spans="1:18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6" t="b">
        <f>ISNUMBER(financials[[#This Row],[Date]])</f>
        <v>1</v>
      </c>
      <c r="O573" s="8">
        <v>5</v>
      </c>
      <c r="P573" s="5" t="s">
        <v>25</v>
      </c>
      <c r="Q573" s="7" t="s">
        <v>15</v>
      </c>
      <c r="R573" s="5">
        <f t="shared" si="8"/>
        <v>0</v>
      </c>
    </row>
    <row r="574" spans="1:18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6" t="b">
        <f>ISNUMBER(financials[[#This Row],[Date]])</f>
        <v>1</v>
      </c>
      <c r="O574" s="8">
        <v>12</v>
      </c>
      <c r="P574" s="5" t="s">
        <v>81</v>
      </c>
      <c r="Q574" s="7" t="s">
        <v>15</v>
      </c>
      <c r="R574" s="5">
        <f t="shared" si="8"/>
        <v>0</v>
      </c>
    </row>
    <row r="575" spans="1:18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6" t="b">
        <f>ISNUMBER(financials[[#This Row],[Date]])</f>
        <v>1</v>
      </c>
      <c r="O575" s="8">
        <v>3</v>
      </c>
      <c r="P575" s="5" t="s">
        <v>82</v>
      </c>
      <c r="Q575" s="7" t="s">
        <v>15</v>
      </c>
      <c r="R575" s="5">
        <f t="shared" si="8"/>
        <v>0</v>
      </c>
    </row>
    <row r="576" spans="1:18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6" t="b">
        <f>ISNUMBER(financials[[#This Row],[Date]])</f>
        <v>1</v>
      </c>
      <c r="O576" s="8">
        <v>12</v>
      </c>
      <c r="P576" s="5" t="s">
        <v>81</v>
      </c>
      <c r="Q576" s="7" t="s">
        <v>15</v>
      </c>
      <c r="R576" s="5">
        <f t="shared" si="8"/>
        <v>0</v>
      </c>
    </row>
    <row r="577" spans="1:18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6" t="b">
        <f>ISNUMBER(financials[[#This Row],[Date]])</f>
        <v>1</v>
      </c>
      <c r="O577" s="8">
        <v>9</v>
      </c>
      <c r="P577" s="5" t="s">
        <v>78</v>
      </c>
      <c r="Q577" s="7" t="s">
        <v>14</v>
      </c>
      <c r="R577" s="5">
        <f t="shared" si="8"/>
        <v>0</v>
      </c>
    </row>
    <row r="578" spans="1:18" x14ac:dyDescent="0.3">
      <c r="A578" t="s">
        <v>8</v>
      </c>
      <c r="B578" t="s">
        <v>74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6" t="b">
        <f>ISNUMBER(financials[[#This Row],[Date]])</f>
        <v>1</v>
      </c>
      <c r="O578" s="8">
        <v>6</v>
      </c>
      <c r="P578" s="5" t="s">
        <v>26</v>
      </c>
      <c r="Q578" s="7" t="s">
        <v>15</v>
      </c>
      <c r="R578" s="5">
        <f t="shared" ref="R578:R641" si="9">COUNTIFS(A:A,A578,B:B,B578,C:C,C578,D:D,D578,E:E,E578,F:F,F578,G:G,G578,H:H,H578,I:I,I578,J:J,J578,K:K,K578,L:L,L578,M:M,M578,N:N,O578,O:O,P578,P:P,Q578)</f>
        <v>0</v>
      </c>
    </row>
    <row r="579" spans="1:18" x14ac:dyDescent="0.3">
      <c r="A579" t="s">
        <v>8</v>
      </c>
      <c r="B579" t="s">
        <v>74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6" t="b">
        <f>ISNUMBER(financials[[#This Row],[Date]])</f>
        <v>1</v>
      </c>
      <c r="O579" s="8">
        <v>6</v>
      </c>
      <c r="P579" s="5" t="s">
        <v>26</v>
      </c>
      <c r="Q579" s="7" t="s">
        <v>15</v>
      </c>
      <c r="R579" s="5">
        <f t="shared" si="9"/>
        <v>0</v>
      </c>
    </row>
    <row r="580" spans="1:18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6" t="b">
        <f>ISNUMBER(financials[[#This Row],[Date]])</f>
        <v>1</v>
      </c>
      <c r="O580" s="8">
        <v>3</v>
      </c>
      <c r="P580" s="5" t="s">
        <v>82</v>
      </c>
      <c r="Q580" s="7" t="s">
        <v>15</v>
      </c>
      <c r="R580" s="5">
        <f t="shared" si="9"/>
        <v>0</v>
      </c>
    </row>
    <row r="581" spans="1:18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6" t="b">
        <f>ISNUMBER(financials[[#This Row],[Date]])</f>
        <v>1</v>
      </c>
      <c r="O581" s="8">
        <v>3</v>
      </c>
      <c r="P581" s="5" t="s">
        <v>82</v>
      </c>
      <c r="Q581" s="7" t="s">
        <v>15</v>
      </c>
      <c r="R581" s="5">
        <f t="shared" si="9"/>
        <v>0</v>
      </c>
    </row>
    <row r="582" spans="1:18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6" t="b">
        <f>ISNUMBER(financials[[#This Row],[Date]])</f>
        <v>1</v>
      </c>
      <c r="O582" s="8">
        <v>9</v>
      </c>
      <c r="P582" s="5" t="s">
        <v>78</v>
      </c>
      <c r="Q582" s="7" t="s">
        <v>14</v>
      </c>
      <c r="R582" s="5">
        <f t="shared" si="9"/>
        <v>0</v>
      </c>
    </row>
    <row r="583" spans="1:18" x14ac:dyDescent="0.3">
      <c r="A583" t="s">
        <v>10</v>
      </c>
      <c r="B583" t="s">
        <v>74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6" t="b">
        <f>ISNUMBER(financials[[#This Row],[Date]])</f>
        <v>1</v>
      </c>
      <c r="O583" s="8">
        <v>1</v>
      </c>
      <c r="P583" s="5" t="s">
        <v>76</v>
      </c>
      <c r="Q583" s="7" t="s">
        <v>15</v>
      </c>
      <c r="R583" s="5">
        <f t="shared" si="9"/>
        <v>0</v>
      </c>
    </row>
    <row r="584" spans="1:18" x14ac:dyDescent="0.3">
      <c r="A584" t="s">
        <v>10</v>
      </c>
      <c r="B584" t="s">
        <v>74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6" t="b">
        <f>ISNUMBER(financials[[#This Row],[Date]])</f>
        <v>1</v>
      </c>
      <c r="O584" s="8">
        <v>2</v>
      </c>
      <c r="P584" s="5" t="s">
        <v>75</v>
      </c>
      <c r="Q584" s="7" t="s">
        <v>15</v>
      </c>
      <c r="R584" s="5">
        <f t="shared" si="9"/>
        <v>0</v>
      </c>
    </row>
    <row r="585" spans="1:18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6" t="b">
        <f>ISNUMBER(financials[[#This Row],[Date]])</f>
        <v>1</v>
      </c>
      <c r="O585" s="8">
        <v>6</v>
      </c>
      <c r="P585" s="5" t="s">
        <v>26</v>
      </c>
      <c r="Q585" s="7" t="s">
        <v>15</v>
      </c>
      <c r="R585" s="5">
        <f t="shared" si="9"/>
        <v>0</v>
      </c>
    </row>
    <row r="586" spans="1:18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6" t="b">
        <f>ISNUMBER(financials[[#This Row],[Date]])</f>
        <v>1</v>
      </c>
      <c r="O586" s="8">
        <v>7</v>
      </c>
      <c r="P586" s="5" t="s">
        <v>27</v>
      </c>
      <c r="Q586" s="7" t="s">
        <v>15</v>
      </c>
      <c r="R586" s="5">
        <f t="shared" si="9"/>
        <v>0</v>
      </c>
    </row>
    <row r="587" spans="1:18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6" t="b">
        <f>ISNUMBER(financials[[#This Row],[Date]])</f>
        <v>1</v>
      </c>
      <c r="O587" s="8">
        <v>10</v>
      </c>
      <c r="P587" s="5" t="s">
        <v>79</v>
      </c>
      <c r="Q587" s="7" t="s">
        <v>15</v>
      </c>
      <c r="R587" s="5">
        <f t="shared" si="9"/>
        <v>0</v>
      </c>
    </row>
    <row r="588" spans="1:18" x14ac:dyDescent="0.3">
      <c r="A588" t="s">
        <v>10</v>
      </c>
      <c r="B588" t="s">
        <v>74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6" t="b">
        <f>ISNUMBER(financials[[#This Row],[Date]])</f>
        <v>1</v>
      </c>
      <c r="O588" s="8">
        <v>1</v>
      </c>
      <c r="P588" s="5" t="s">
        <v>76</v>
      </c>
      <c r="Q588" s="7" t="s">
        <v>15</v>
      </c>
      <c r="R588" s="5">
        <f t="shared" si="9"/>
        <v>0</v>
      </c>
    </row>
    <row r="589" spans="1:18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6" t="b">
        <f>ISNUMBER(financials[[#This Row],[Date]])</f>
        <v>1</v>
      </c>
      <c r="O589" s="8">
        <v>1</v>
      </c>
      <c r="P589" s="5" t="s">
        <v>76</v>
      </c>
      <c r="Q589" s="7" t="s">
        <v>15</v>
      </c>
      <c r="R589" s="5">
        <f t="shared" si="9"/>
        <v>0</v>
      </c>
    </row>
    <row r="590" spans="1:18" x14ac:dyDescent="0.3">
      <c r="A590" t="s">
        <v>10</v>
      </c>
      <c r="B590" t="s">
        <v>74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6" t="b">
        <f>ISNUMBER(financials[[#This Row],[Date]])</f>
        <v>1</v>
      </c>
      <c r="O590" s="8">
        <v>2</v>
      </c>
      <c r="P590" s="5" t="s">
        <v>75</v>
      </c>
      <c r="Q590" s="7" t="s">
        <v>15</v>
      </c>
      <c r="R590" s="5">
        <f t="shared" si="9"/>
        <v>0</v>
      </c>
    </row>
    <row r="591" spans="1:18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6" t="b">
        <f>ISNUMBER(financials[[#This Row],[Date]])</f>
        <v>1</v>
      </c>
      <c r="O591" s="8">
        <v>2</v>
      </c>
      <c r="P591" s="5" t="s">
        <v>75</v>
      </c>
      <c r="Q591" s="7" t="s">
        <v>15</v>
      </c>
      <c r="R591" s="5">
        <f t="shared" si="9"/>
        <v>0</v>
      </c>
    </row>
    <row r="592" spans="1:18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6" t="b">
        <f>ISNUMBER(financials[[#This Row],[Date]])</f>
        <v>1</v>
      </c>
      <c r="O592" s="8">
        <v>6</v>
      </c>
      <c r="P592" s="5" t="s">
        <v>26</v>
      </c>
      <c r="Q592" s="7" t="s">
        <v>15</v>
      </c>
      <c r="R592" s="5">
        <f t="shared" si="9"/>
        <v>0</v>
      </c>
    </row>
    <row r="593" spans="1:18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6" t="b">
        <f>ISNUMBER(financials[[#This Row],[Date]])</f>
        <v>1</v>
      </c>
      <c r="O593" s="8">
        <v>6</v>
      </c>
      <c r="P593" s="5" t="s">
        <v>26</v>
      </c>
      <c r="Q593" s="7" t="s">
        <v>15</v>
      </c>
      <c r="R593" s="5">
        <f t="shared" si="9"/>
        <v>0</v>
      </c>
    </row>
    <row r="594" spans="1:18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6" t="b">
        <f>ISNUMBER(financials[[#This Row],[Date]])</f>
        <v>1</v>
      </c>
      <c r="O594" s="8">
        <v>7</v>
      </c>
      <c r="P594" s="5" t="s">
        <v>27</v>
      </c>
      <c r="Q594" s="7" t="s">
        <v>15</v>
      </c>
      <c r="R594" s="5">
        <f t="shared" si="9"/>
        <v>0</v>
      </c>
    </row>
    <row r="595" spans="1:18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6" t="b">
        <f>ISNUMBER(financials[[#This Row],[Date]])</f>
        <v>1</v>
      </c>
      <c r="O595" s="8">
        <v>8</v>
      </c>
      <c r="P595" s="5" t="s">
        <v>77</v>
      </c>
      <c r="Q595" s="7" t="s">
        <v>15</v>
      </c>
      <c r="R595" s="5">
        <f t="shared" si="9"/>
        <v>0</v>
      </c>
    </row>
    <row r="596" spans="1:18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6" t="b">
        <f>ISNUMBER(financials[[#This Row],[Date]])</f>
        <v>1</v>
      </c>
      <c r="O596" s="8">
        <v>10</v>
      </c>
      <c r="P596" s="5" t="s">
        <v>79</v>
      </c>
      <c r="Q596" s="7" t="s">
        <v>15</v>
      </c>
      <c r="R596" s="5">
        <f t="shared" si="9"/>
        <v>0</v>
      </c>
    </row>
    <row r="597" spans="1:18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6" t="b">
        <f>ISNUMBER(financials[[#This Row],[Date]])</f>
        <v>1</v>
      </c>
      <c r="O597" s="8">
        <v>10</v>
      </c>
      <c r="P597" s="5" t="s">
        <v>79</v>
      </c>
      <c r="Q597" s="7" t="s">
        <v>15</v>
      </c>
      <c r="R597" s="5">
        <f t="shared" si="9"/>
        <v>0</v>
      </c>
    </row>
    <row r="598" spans="1:18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6" t="b">
        <f>ISNUMBER(financials[[#This Row],[Date]])</f>
        <v>1</v>
      </c>
      <c r="O598" s="8">
        <v>11</v>
      </c>
      <c r="P598" s="5" t="s">
        <v>80</v>
      </c>
      <c r="Q598" s="7" t="s">
        <v>15</v>
      </c>
      <c r="R598" s="5">
        <f t="shared" si="9"/>
        <v>0</v>
      </c>
    </row>
    <row r="599" spans="1:18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6" t="b">
        <f>ISNUMBER(financials[[#This Row],[Date]])</f>
        <v>1</v>
      </c>
      <c r="O599" s="8">
        <v>12</v>
      </c>
      <c r="P599" s="5" t="s">
        <v>81</v>
      </c>
      <c r="Q599" s="7" t="s">
        <v>15</v>
      </c>
      <c r="R599" s="5">
        <f t="shared" si="9"/>
        <v>0</v>
      </c>
    </row>
    <row r="600" spans="1:18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6" t="b">
        <f>ISNUMBER(financials[[#This Row],[Date]])</f>
        <v>1</v>
      </c>
      <c r="O600" s="8">
        <v>1</v>
      </c>
      <c r="P600" s="5" t="s">
        <v>76</v>
      </c>
      <c r="Q600" s="7" t="s">
        <v>15</v>
      </c>
      <c r="R600" s="5">
        <f t="shared" si="9"/>
        <v>0</v>
      </c>
    </row>
    <row r="601" spans="1:18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6" t="b">
        <f>ISNUMBER(financials[[#This Row],[Date]])</f>
        <v>1</v>
      </c>
      <c r="O601" s="8">
        <v>6</v>
      </c>
      <c r="P601" s="5" t="s">
        <v>26</v>
      </c>
      <c r="Q601" s="7" t="s">
        <v>15</v>
      </c>
      <c r="R601" s="5">
        <f t="shared" si="9"/>
        <v>0</v>
      </c>
    </row>
    <row r="602" spans="1:18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6" t="b">
        <f>ISNUMBER(financials[[#This Row],[Date]])</f>
        <v>1</v>
      </c>
      <c r="O602" s="8">
        <v>6</v>
      </c>
      <c r="P602" s="5" t="s">
        <v>26</v>
      </c>
      <c r="Q602" s="7" t="s">
        <v>15</v>
      </c>
      <c r="R602" s="5">
        <f t="shared" si="9"/>
        <v>0</v>
      </c>
    </row>
    <row r="603" spans="1:18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6" t="b">
        <f>ISNUMBER(financials[[#This Row],[Date]])</f>
        <v>1</v>
      </c>
      <c r="O603" s="8">
        <v>6</v>
      </c>
      <c r="P603" s="5" t="s">
        <v>26</v>
      </c>
      <c r="Q603" s="7" t="s">
        <v>15</v>
      </c>
      <c r="R603" s="5">
        <f t="shared" si="9"/>
        <v>0</v>
      </c>
    </row>
    <row r="604" spans="1:18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6" t="b">
        <f>ISNUMBER(financials[[#This Row],[Date]])</f>
        <v>1</v>
      </c>
      <c r="O604" s="8">
        <v>9</v>
      </c>
      <c r="P604" s="5" t="s">
        <v>78</v>
      </c>
      <c r="Q604" s="7" t="s">
        <v>14</v>
      </c>
      <c r="R604" s="5">
        <f t="shared" si="9"/>
        <v>0</v>
      </c>
    </row>
    <row r="605" spans="1:18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6" t="b">
        <f>ISNUMBER(financials[[#This Row],[Date]])</f>
        <v>1</v>
      </c>
      <c r="O605" s="8">
        <v>10</v>
      </c>
      <c r="P605" s="5" t="s">
        <v>79</v>
      </c>
      <c r="Q605" s="7" t="s">
        <v>15</v>
      </c>
      <c r="R605" s="5">
        <f t="shared" si="9"/>
        <v>0</v>
      </c>
    </row>
    <row r="606" spans="1:18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6" t="b">
        <f>ISNUMBER(financials[[#This Row],[Date]])</f>
        <v>1</v>
      </c>
      <c r="O606" s="8">
        <v>11</v>
      </c>
      <c r="P606" s="5" t="s">
        <v>80</v>
      </c>
      <c r="Q606" s="7" t="s">
        <v>14</v>
      </c>
      <c r="R606" s="5">
        <f t="shared" si="9"/>
        <v>0</v>
      </c>
    </row>
    <row r="607" spans="1:18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6" t="b">
        <f>ISNUMBER(financials[[#This Row],[Date]])</f>
        <v>1</v>
      </c>
      <c r="O607" s="8">
        <v>12</v>
      </c>
      <c r="P607" s="5" t="s">
        <v>81</v>
      </c>
      <c r="Q607" s="7" t="s">
        <v>15</v>
      </c>
      <c r="R607" s="5">
        <f t="shared" si="9"/>
        <v>0</v>
      </c>
    </row>
    <row r="608" spans="1:18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6" t="b">
        <f>ISNUMBER(financials[[#This Row],[Date]])</f>
        <v>1</v>
      </c>
      <c r="O608" s="8">
        <v>6</v>
      </c>
      <c r="P608" s="5" t="s">
        <v>26</v>
      </c>
      <c r="Q608" s="7" t="s">
        <v>15</v>
      </c>
      <c r="R608" s="5">
        <f t="shared" si="9"/>
        <v>0</v>
      </c>
    </row>
    <row r="609" spans="1:18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6" t="b">
        <f>ISNUMBER(financials[[#This Row],[Date]])</f>
        <v>1</v>
      </c>
      <c r="O609" s="8">
        <v>10</v>
      </c>
      <c r="P609" s="5" t="s">
        <v>79</v>
      </c>
      <c r="Q609" s="7" t="s">
        <v>15</v>
      </c>
      <c r="R609" s="5">
        <f t="shared" si="9"/>
        <v>0</v>
      </c>
    </row>
    <row r="610" spans="1:18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6" t="b">
        <f>ISNUMBER(financials[[#This Row],[Date]])</f>
        <v>1</v>
      </c>
      <c r="O610" s="8">
        <v>1</v>
      </c>
      <c r="P610" s="5" t="s">
        <v>76</v>
      </c>
      <c r="Q610" s="7" t="s">
        <v>15</v>
      </c>
      <c r="R610" s="5">
        <f t="shared" si="9"/>
        <v>0</v>
      </c>
    </row>
    <row r="611" spans="1:18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6" t="b">
        <f>ISNUMBER(financials[[#This Row],[Date]])</f>
        <v>1</v>
      </c>
      <c r="O611" s="8">
        <v>6</v>
      </c>
      <c r="P611" s="5" t="s">
        <v>26</v>
      </c>
      <c r="Q611" s="7" t="s">
        <v>15</v>
      </c>
      <c r="R611" s="5">
        <f t="shared" si="9"/>
        <v>0</v>
      </c>
    </row>
    <row r="612" spans="1:18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6" t="b">
        <f>ISNUMBER(financials[[#This Row],[Date]])</f>
        <v>1</v>
      </c>
      <c r="O612" s="8">
        <v>10</v>
      </c>
      <c r="P612" s="5" t="s">
        <v>79</v>
      </c>
      <c r="Q612" s="7" t="s">
        <v>15</v>
      </c>
      <c r="R612" s="5">
        <f t="shared" si="9"/>
        <v>0</v>
      </c>
    </row>
    <row r="613" spans="1:18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6" t="b">
        <f>ISNUMBER(financials[[#This Row],[Date]])</f>
        <v>1</v>
      </c>
      <c r="O613" s="8">
        <v>12</v>
      </c>
      <c r="P613" s="5" t="s">
        <v>81</v>
      </c>
      <c r="Q613" s="7" t="s">
        <v>14</v>
      </c>
      <c r="R613" s="5">
        <f t="shared" si="9"/>
        <v>0</v>
      </c>
    </row>
    <row r="614" spans="1:18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6" t="b">
        <f>ISNUMBER(financials[[#This Row],[Date]])</f>
        <v>1</v>
      </c>
      <c r="O614" s="8">
        <v>4</v>
      </c>
      <c r="P614" s="5" t="s">
        <v>24</v>
      </c>
      <c r="Q614" s="7" t="s">
        <v>15</v>
      </c>
      <c r="R614" s="5">
        <f t="shared" si="9"/>
        <v>0</v>
      </c>
    </row>
    <row r="615" spans="1:18" x14ac:dyDescent="0.3">
      <c r="A615" t="s">
        <v>10</v>
      </c>
      <c r="B615" t="s">
        <v>74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6" t="b">
        <f>ISNUMBER(financials[[#This Row],[Date]])</f>
        <v>1</v>
      </c>
      <c r="O615" s="8">
        <v>5</v>
      </c>
      <c r="P615" s="5" t="s">
        <v>25</v>
      </c>
      <c r="Q615" s="7" t="s">
        <v>15</v>
      </c>
      <c r="R615" s="5">
        <f t="shared" si="9"/>
        <v>0</v>
      </c>
    </row>
    <row r="616" spans="1:18" x14ac:dyDescent="0.3">
      <c r="A616" t="s">
        <v>10</v>
      </c>
      <c r="B616" t="s">
        <v>74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6" t="b">
        <f>ISNUMBER(financials[[#This Row],[Date]])</f>
        <v>1</v>
      </c>
      <c r="O616" s="8">
        <v>10</v>
      </c>
      <c r="P616" s="5" t="s">
        <v>79</v>
      </c>
      <c r="Q616" s="7" t="s">
        <v>14</v>
      </c>
      <c r="R616" s="5">
        <f t="shared" si="9"/>
        <v>0</v>
      </c>
    </row>
    <row r="617" spans="1:18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6" t="b">
        <f>ISNUMBER(financials[[#This Row],[Date]])</f>
        <v>1</v>
      </c>
      <c r="O617" s="8">
        <v>12</v>
      </c>
      <c r="P617" s="5" t="s">
        <v>81</v>
      </c>
      <c r="Q617" s="7" t="s">
        <v>15</v>
      </c>
      <c r="R617" s="5">
        <f t="shared" si="9"/>
        <v>0</v>
      </c>
    </row>
    <row r="618" spans="1:18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6" t="b">
        <f>ISNUMBER(financials[[#This Row],[Date]])</f>
        <v>1</v>
      </c>
      <c r="O618" s="8">
        <v>2</v>
      </c>
      <c r="P618" s="5" t="s">
        <v>75</v>
      </c>
      <c r="Q618" s="7" t="s">
        <v>15</v>
      </c>
      <c r="R618" s="5">
        <f t="shared" si="9"/>
        <v>0</v>
      </c>
    </row>
    <row r="619" spans="1:18" x14ac:dyDescent="0.3">
      <c r="A619" t="s">
        <v>10</v>
      </c>
      <c r="B619" t="s">
        <v>74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6" t="b">
        <f>ISNUMBER(financials[[#This Row],[Date]])</f>
        <v>1</v>
      </c>
      <c r="O619" s="8">
        <v>10</v>
      </c>
      <c r="P619" s="5" t="s">
        <v>79</v>
      </c>
      <c r="Q619" s="7" t="s">
        <v>14</v>
      </c>
      <c r="R619" s="5">
        <f t="shared" si="9"/>
        <v>0</v>
      </c>
    </row>
    <row r="620" spans="1:18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6" t="b">
        <f>ISNUMBER(financials[[#This Row],[Date]])</f>
        <v>1</v>
      </c>
      <c r="O620" s="8">
        <v>2</v>
      </c>
      <c r="P620" s="5" t="s">
        <v>75</v>
      </c>
      <c r="Q620" s="7" t="s">
        <v>15</v>
      </c>
      <c r="R620" s="5">
        <f t="shared" si="9"/>
        <v>0</v>
      </c>
    </row>
    <row r="621" spans="1:18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6" t="b">
        <f>ISNUMBER(financials[[#This Row],[Date]])</f>
        <v>1</v>
      </c>
      <c r="O621" s="8">
        <v>3</v>
      </c>
      <c r="P621" s="5" t="s">
        <v>82</v>
      </c>
      <c r="Q621" s="7" t="s">
        <v>15</v>
      </c>
      <c r="R621" s="5">
        <f t="shared" si="9"/>
        <v>0</v>
      </c>
    </row>
    <row r="622" spans="1:18" x14ac:dyDescent="0.3">
      <c r="A622" t="s">
        <v>8</v>
      </c>
      <c r="B622" t="s">
        <v>74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6" t="b">
        <f>ISNUMBER(financials[[#This Row],[Date]])</f>
        <v>1</v>
      </c>
      <c r="O622" s="8">
        <v>9</v>
      </c>
      <c r="P622" s="5" t="s">
        <v>78</v>
      </c>
      <c r="Q622" s="7" t="s">
        <v>15</v>
      </c>
      <c r="R622" s="5">
        <f t="shared" si="9"/>
        <v>0</v>
      </c>
    </row>
    <row r="623" spans="1:18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6" t="b">
        <f>ISNUMBER(financials[[#This Row],[Date]])</f>
        <v>1</v>
      </c>
      <c r="O623" s="8">
        <v>10</v>
      </c>
      <c r="P623" s="5" t="s">
        <v>79</v>
      </c>
      <c r="Q623" s="7" t="s">
        <v>15</v>
      </c>
      <c r="R623" s="5">
        <f t="shared" si="9"/>
        <v>0</v>
      </c>
    </row>
    <row r="624" spans="1:18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6" t="b">
        <f>ISNUMBER(financials[[#This Row],[Date]])</f>
        <v>1</v>
      </c>
      <c r="O624" s="8">
        <v>12</v>
      </c>
      <c r="P624" s="5" t="s">
        <v>81</v>
      </c>
      <c r="Q624" s="7" t="s">
        <v>15</v>
      </c>
      <c r="R624" s="5">
        <f t="shared" si="9"/>
        <v>0</v>
      </c>
    </row>
    <row r="625" spans="1:18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6" t="b">
        <f>ISNUMBER(financials[[#This Row],[Date]])</f>
        <v>1</v>
      </c>
      <c r="O625" s="8">
        <v>10</v>
      </c>
      <c r="P625" s="5" t="s">
        <v>79</v>
      </c>
      <c r="Q625" s="7" t="s">
        <v>15</v>
      </c>
      <c r="R625" s="5">
        <f t="shared" si="9"/>
        <v>0</v>
      </c>
    </row>
    <row r="626" spans="1:18" x14ac:dyDescent="0.3">
      <c r="A626" t="s">
        <v>11</v>
      </c>
      <c r="B626" t="s">
        <v>74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6" t="b">
        <f>ISNUMBER(financials[[#This Row],[Date]])</f>
        <v>1</v>
      </c>
      <c r="O626" s="8">
        <v>12</v>
      </c>
      <c r="P626" s="5" t="s">
        <v>81</v>
      </c>
      <c r="Q626" s="7" t="s">
        <v>14</v>
      </c>
      <c r="R626" s="5">
        <f t="shared" si="9"/>
        <v>0</v>
      </c>
    </row>
    <row r="627" spans="1:18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6" t="b">
        <f>ISNUMBER(financials[[#This Row],[Date]])</f>
        <v>1</v>
      </c>
      <c r="O627" s="8">
        <v>7</v>
      </c>
      <c r="P627" s="5" t="s">
        <v>27</v>
      </c>
      <c r="Q627" s="7" t="s">
        <v>15</v>
      </c>
      <c r="R627" s="5">
        <f t="shared" si="9"/>
        <v>0</v>
      </c>
    </row>
    <row r="628" spans="1:18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6" t="b">
        <f>ISNUMBER(financials[[#This Row],[Date]])</f>
        <v>1</v>
      </c>
      <c r="O628" s="8">
        <v>9</v>
      </c>
      <c r="P628" s="5" t="s">
        <v>78</v>
      </c>
      <c r="Q628" s="7" t="s">
        <v>14</v>
      </c>
      <c r="R628" s="5">
        <f t="shared" si="9"/>
        <v>0</v>
      </c>
    </row>
    <row r="629" spans="1:18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6" t="b">
        <f>ISNUMBER(financials[[#This Row],[Date]])</f>
        <v>1</v>
      </c>
      <c r="O629" s="8">
        <v>10</v>
      </c>
      <c r="P629" s="5" t="s">
        <v>79</v>
      </c>
      <c r="Q629" s="7" t="s">
        <v>15</v>
      </c>
      <c r="R629" s="5">
        <f t="shared" si="9"/>
        <v>0</v>
      </c>
    </row>
    <row r="630" spans="1:18" x14ac:dyDescent="0.3">
      <c r="A630" t="s">
        <v>7</v>
      </c>
      <c r="B630" t="s">
        <v>74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6" t="b">
        <f>ISNUMBER(financials[[#This Row],[Date]])</f>
        <v>1</v>
      </c>
      <c r="O630" s="8">
        <v>10</v>
      </c>
      <c r="P630" s="5" t="s">
        <v>79</v>
      </c>
      <c r="Q630" s="7" t="s">
        <v>15</v>
      </c>
      <c r="R630" s="5">
        <f t="shared" si="9"/>
        <v>0</v>
      </c>
    </row>
    <row r="631" spans="1:18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6" t="b">
        <f>ISNUMBER(financials[[#This Row],[Date]])</f>
        <v>1</v>
      </c>
      <c r="O631" s="8">
        <v>11</v>
      </c>
      <c r="P631" s="5" t="s">
        <v>80</v>
      </c>
      <c r="Q631" s="7" t="s">
        <v>15</v>
      </c>
      <c r="R631" s="5">
        <f t="shared" si="9"/>
        <v>0</v>
      </c>
    </row>
    <row r="632" spans="1:18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6" t="b">
        <f>ISNUMBER(financials[[#This Row],[Date]])</f>
        <v>1</v>
      </c>
      <c r="O632" s="8">
        <v>12</v>
      </c>
      <c r="P632" s="5" t="s">
        <v>81</v>
      </c>
      <c r="Q632" s="7" t="s">
        <v>15</v>
      </c>
      <c r="R632" s="5">
        <f t="shared" si="9"/>
        <v>0</v>
      </c>
    </row>
    <row r="633" spans="1:18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6" t="b">
        <f>ISNUMBER(financials[[#This Row],[Date]])</f>
        <v>1</v>
      </c>
      <c r="O633" s="8">
        <v>12</v>
      </c>
      <c r="P633" s="5" t="s">
        <v>81</v>
      </c>
      <c r="Q633" s="7" t="s">
        <v>14</v>
      </c>
      <c r="R633" s="5">
        <f t="shared" si="9"/>
        <v>0</v>
      </c>
    </row>
    <row r="634" spans="1:18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6" t="b">
        <f>ISNUMBER(financials[[#This Row],[Date]])</f>
        <v>1</v>
      </c>
      <c r="O634" s="8">
        <v>1</v>
      </c>
      <c r="P634" s="5" t="s">
        <v>76</v>
      </c>
      <c r="Q634" s="7" t="s">
        <v>15</v>
      </c>
      <c r="R634" s="5">
        <f t="shared" si="9"/>
        <v>0</v>
      </c>
    </row>
    <row r="635" spans="1:18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6" t="b">
        <f>ISNUMBER(financials[[#This Row],[Date]])</f>
        <v>1</v>
      </c>
      <c r="O635" s="8">
        <v>4</v>
      </c>
      <c r="P635" s="5" t="s">
        <v>24</v>
      </c>
      <c r="Q635" s="7" t="s">
        <v>15</v>
      </c>
      <c r="R635" s="5">
        <f t="shared" si="9"/>
        <v>0</v>
      </c>
    </row>
    <row r="636" spans="1:18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6" t="b">
        <f>ISNUMBER(financials[[#This Row],[Date]])</f>
        <v>1</v>
      </c>
      <c r="O636" s="8">
        <v>5</v>
      </c>
      <c r="P636" s="5" t="s">
        <v>25</v>
      </c>
      <c r="Q636" s="7" t="s">
        <v>15</v>
      </c>
      <c r="R636" s="5">
        <f t="shared" si="9"/>
        <v>0</v>
      </c>
    </row>
    <row r="637" spans="1:18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6" t="b">
        <f>ISNUMBER(financials[[#This Row],[Date]])</f>
        <v>1</v>
      </c>
      <c r="O637" s="8">
        <v>9</v>
      </c>
      <c r="P637" s="5" t="s">
        <v>78</v>
      </c>
      <c r="Q637" s="7" t="s">
        <v>15</v>
      </c>
      <c r="R637" s="5">
        <f t="shared" si="9"/>
        <v>0</v>
      </c>
    </row>
    <row r="638" spans="1:18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6" t="b">
        <f>ISNUMBER(financials[[#This Row],[Date]])</f>
        <v>1</v>
      </c>
      <c r="O638" s="8">
        <v>10</v>
      </c>
      <c r="P638" s="5" t="s">
        <v>79</v>
      </c>
      <c r="Q638" s="7" t="s">
        <v>14</v>
      </c>
      <c r="R638" s="5">
        <f t="shared" si="9"/>
        <v>0</v>
      </c>
    </row>
    <row r="639" spans="1:18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6" t="b">
        <f>ISNUMBER(financials[[#This Row],[Date]])</f>
        <v>1</v>
      </c>
      <c r="O639" s="8">
        <v>12</v>
      </c>
      <c r="P639" s="5" t="s">
        <v>81</v>
      </c>
      <c r="Q639" s="7" t="s">
        <v>15</v>
      </c>
      <c r="R639" s="5">
        <f t="shared" si="9"/>
        <v>0</v>
      </c>
    </row>
    <row r="640" spans="1:18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6" t="b">
        <f>ISNUMBER(financials[[#This Row],[Date]])</f>
        <v>1</v>
      </c>
      <c r="O640" s="8">
        <v>2</v>
      </c>
      <c r="P640" s="5" t="s">
        <v>75</v>
      </c>
      <c r="Q640" s="7" t="s">
        <v>15</v>
      </c>
      <c r="R640" s="5">
        <f t="shared" si="9"/>
        <v>0</v>
      </c>
    </row>
    <row r="641" spans="1:18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6" t="b">
        <f>ISNUMBER(financials[[#This Row],[Date]])</f>
        <v>1</v>
      </c>
      <c r="O641" s="8">
        <v>9</v>
      </c>
      <c r="P641" s="5" t="s">
        <v>78</v>
      </c>
      <c r="Q641" s="7" t="s">
        <v>14</v>
      </c>
      <c r="R641" s="5">
        <f t="shared" si="9"/>
        <v>0</v>
      </c>
    </row>
    <row r="642" spans="1:18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6" t="b">
        <f>ISNUMBER(financials[[#This Row],[Date]])</f>
        <v>1</v>
      </c>
      <c r="O642" s="8">
        <v>10</v>
      </c>
      <c r="P642" s="5" t="s">
        <v>79</v>
      </c>
      <c r="Q642" s="7" t="s">
        <v>14</v>
      </c>
      <c r="R642" s="5">
        <f t="shared" ref="R642:R705" si="10">COUNTIFS(A:A,A642,B:B,B642,C:C,C642,D:D,D642,E:E,E642,F:F,F642,G:G,G642,H:H,H642,I:I,I642,J:J,J642,K:K,K642,L:L,L642,M:M,M642,N:N,O642,O:O,P642,P:P,Q642)</f>
        <v>0</v>
      </c>
    </row>
    <row r="643" spans="1:18" x14ac:dyDescent="0.3">
      <c r="A643" t="s">
        <v>11</v>
      </c>
      <c r="B643" t="s">
        <v>74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6" t="b">
        <f>ISNUMBER(financials[[#This Row],[Date]])</f>
        <v>1</v>
      </c>
      <c r="O643" s="8">
        <v>10</v>
      </c>
      <c r="P643" s="5" t="s">
        <v>79</v>
      </c>
      <c r="Q643" s="7" t="s">
        <v>15</v>
      </c>
      <c r="R643" s="5">
        <f t="shared" si="10"/>
        <v>0</v>
      </c>
    </row>
    <row r="644" spans="1:18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6" t="b">
        <f>ISNUMBER(financials[[#This Row],[Date]])</f>
        <v>1</v>
      </c>
      <c r="O644" s="8">
        <v>10</v>
      </c>
      <c r="P644" s="5" t="s">
        <v>79</v>
      </c>
      <c r="Q644" s="7" t="s">
        <v>15</v>
      </c>
      <c r="R644" s="5">
        <f t="shared" si="10"/>
        <v>0</v>
      </c>
    </row>
    <row r="645" spans="1:18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6" t="b">
        <f>ISNUMBER(financials[[#This Row],[Date]])</f>
        <v>1</v>
      </c>
      <c r="O645" s="8">
        <v>11</v>
      </c>
      <c r="P645" s="5" t="s">
        <v>80</v>
      </c>
      <c r="Q645" s="7" t="s">
        <v>15</v>
      </c>
      <c r="R645" s="5">
        <f t="shared" si="10"/>
        <v>0</v>
      </c>
    </row>
    <row r="646" spans="1:18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6" t="b">
        <f>ISNUMBER(financials[[#This Row],[Date]])</f>
        <v>1</v>
      </c>
      <c r="O646" s="8">
        <v>11</v>
      </c>
      <c r="P646" s="5" t="s">
        <v>80</v>
      </c>
      <c r="Q646" s="7" t="s">
        <v>14</v>
      </c>
      <c r="R646" s="5">
        <f t="shared" si="10"/>
        <v>0</v>
      </c>
    </row>
    <row r="647" spans="1:18" x14ac:dyDescent="0.3">
      <c r="A647" t="s">
        <v>10</v>
      </c>
      <c r="B647" t="s">
        <v>74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6" t="b">
        <f>ISNUMBER(financials[[#This Row],[Date]])</f>
        <v>1</v>
      </c>
      <c r="O647" s="8">
        <v>11</v>
      </c>
      <c r="P647" s="5" t="s">
        <v>80</v>
      </c>
      <c r="Q647" s="7" t="s">
        <v>15</v>
      </c>
      <c r="R647" s="5">
        <f t="shared" si="10"/>
        <v>0</v>
      </c>
    </row>
    <row r="648" spans="1:18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6" t="b">
        <f>ISNUMBER(financials[[#This Row],[Date]])</f>
        <v>1</v>
      </c>
      <c r="O648" s="8">
        <v>11</v>
      </c>
      <c r="P648" s="5" t="s">
        <v>80</v>
      </c>
      <c r="Q648" s="7" t="s">
        <v>14</v>
      </c>
      <c r="R648" s="5">
        <f t="shared" si="10"/>
        <v>0</v>
      </c>
    </row>
    <row r="649" spans="1:18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6" t="b">
        <f>ISNUMBER(financials[[#This Row],[Date]])</f>
        <v>1</v>
      </c>
      <c r="O649" s="8">
        <v>2</v>
      </c>
      <c r="P649" s="5" t="s">
        <v>75</v>
      </c>
      <c r="Q649" s="7" t="s">
        <v>15</v>
      </c>
      <c r="R649" s="5">
        <f t="shared" si="10"/>
        <v>0</v>
      </c>
    </row>
    <row r="650" spans="1:18" x14ac:dyDescent="0.3">
      <c r="A650" t="s">
        <v>10</v>
      </c>
      <c r="B650" t="s">
        <v>74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6" t="b">
        <f>ISNUMBER(financials[[#This Row],[Date]])</f>
        <v>1</v>
      </c>
      <c r="O650" s="8">
        <v>4</v>
      </c>
      <c r="P650" s="5" t="s">
        <v>24</v>
      </c>
      <c r="Q650" s="7" t="s">
        <v>15</v>
      </c>
      <c r="R650" s="5">
        <f t="shared" si="10"/>
        <v>0</v>
      </c>
    </row>
    <row r="651" spans="1:18" x14ac:dyDescent="0.3">
      <c r="A651" t="s">
        <v>7</v>
      </c>
      <c r="B651" t="s">
        <v>74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6" t="b">
        <f>ISNUMBER(financials[[#This Row],[Date]])</f>
        <v>1</v>
      </c>
      <c r="O651" s="8">
        <v>7</v>
      </c>
      <c r="P651" s="5" t="s">
        <v>27</v>
      </c>
      <c r="Q651" s="7" t="s">
        <v>15</v>
      </c>
      <c r="R651" s="5">
        <f t="shared" si="10"/>
        <v>0</v>
      </c>
    </row>
    <row r="652" spans="1:18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6" t="b">
        <f>ISNUMBER(financials[[#This Row],[Date]])</f>
        <v>1</v>
      </c>
      <c r="O652" s="8">
        <v>10</v>
      </c>
      <c r="P652" s="5" t="s">
        <v>79</v>
      </c>
      <c r="Q652" s="7" t="s">
        <v>14</v>
      </c>
      <c r="R652" s="5">
        <f t="shared" si="10"/>
        <v>0</v>
      </c>
    </row>
    <row r="653" spans="1:18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6" t="b">
        <f>ISNUMBER(financials[[#This Row],[Date]])</f>
        <v>1</v>
      </c>
      <c r="O653" s="8">
        <v>11</v>
      </c>
      <c r="P653" s="5" t="s">
        <v>80</v>
      </c>
      <c r="Q653" s="7" t="s">
        <v>14</v>
      </c>
      <c r="R653" s="5">
        <f t="shared" si="10"/>
        <v>0</v>
      </c>
    </row>
    <row r="654" spans="1:18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6" t="b">
        <f>ISNUMBER(financials[[#This Row],[Date]])</f>
        <v>1</v>
      </c>
      <c r="O654" s="8">
        <v>3</v>
      </c>
      <c r="P654" s="5" t="s">
        <v>82</v>
      </c>
      <c r="Q654" s="7" t="s">
        <v>15</v>
      </c>
      <c r="R654" s="5">
        <f t="shared" si="10"/>
        <v>0</v>
      </c>
    </row>
    <row r="655" spans="1:18" x14ac:dyDescent="0.3">
      <c r="A655" t="s">
        <v>7</v>
      </c>
      <c r="B655" t="s">
        <v>74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6" t="b">
        <f>ISNUMBER(financials[[#This Row],[Date]])</f>
        <v>1</v>
      </c>
      <c r="O655" s="8">
        <v>8</v>
      </c>
      <c r="P655" s="5" t="s">
        <v>77</v>
      </c>
      <c r="Q655" s="7" t="s">
        <v>15</v>
      </c>
      <c r="R655" s="5">
        <f t="shared" si="10"/>
        <v>0</v>
      </c>
    </row>
    <row r="656" spans="1:18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6" t="b">
        <f>ISNUMBER(financials[[#This Row],[Date]])</f>
        <v>1</v>
      </c>
      <c r="O656" s="8">
        <v>10</v>
      </c>
      <c r="P656" s="5" t="s">
        <v>79</v>
      </c>
      <c r="Q656" s="7" t="s">
        <v>14</v>
      </c>
      <c r="R656" s="5">
        <f t="shared" si="10"/>
        <v>0</v>
      </c>
    </row>
    <row r="657" spans="1:18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6" t="b">
        <f>ISNUMBER(financials[[#This Row],[Date]])</f>
        <v>1</v>
      </c>
      <c r="O657" s="8">
        <v>10</v>
      </c>
      <c r="P657" s="5" t="s">
        <v>79</v>
      </c>
      <c r="Q657" s="7" t="s">
        <v>15</v>
      </c>
      <c r="R657" s="5">
        <f t="shared" si="10"/>
        <v>0</v>
      </c>
    </row>
    <row r="658" spans="1:18" x14ac:dyDescent="0.3">
      <c r="A658" t="s">
        <v>7</v>
      </c>
      <c r="B658" t="s">
        <v>74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6" t="b">
        <f>ISNUMBER(financials[[#This Row],[Date]])</f>
        <v>1</v>
      </c>
      <c r="O658" s="8">
        <v>10</v>
      </c>
      <c r="P658" s="5" t="s">
        <v>79</v>
      </c>
      <c r="Q658" s="7" t="s">
        <v>15</v>
      </c>
      <c r="R658" s="5">
        <f t="shared" si="10"/>
        <v>0</v>
      </c>
    </row>
    <row r="659" spans="1:18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6" t="b">
        <f>ISNUMBER(financials[[#This Row],[Date]])</f>
        <v>1</v>
      </c>
      <c r="O659" s="8">
        <v>12</v>
      </c>
      <c r="P659" s="5" t="s">
        <v>81</v>
      </c>
      <c r="Q659" s="7" t="s">
        <v>14</v>
      </c>
      <c r="R659" s="5">
        <f t="shared" si="10"/>
        <v>0</v>
      </c>
    </row>
    <row r="660" spans="1:18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6" t="b">
        <f>ISNUMBER(financials[[#This Row],[Date]])</f>
        <v>1</v>
      </c>
      <c r="O660" s="8">
        <v>3</v>
      </c>
      <c r="P660" s="5" t="s">
        <v>82</v>
      </c>
      <c r="Q660" s="7" t="s">
        <v>15</v>
      </c>
      <c r="R660" s="5">
        <f t="shared" si="10"/>
        <v>0</v>
      </c>
    </row>
    <row r="661" spans="1:18" x14ac:dyDescent="0.3">
      <c r="A661" t="s">
        <v>9</v>
      </c>
      <c r="B661" t="s">
        <v>74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6" t="b">
        <f>ISNUMBER(financials[[#This Row],[Date]])</f>
        <v>1</v>
      </c>
      <c r="O661" s="8">
        <v>5</v>
      </c>
      <c r="P661" s="5" t="s">
        <v>25</v>
      </c>
      <c r="Q661" s="7" t="s">
        <v>15</v>
      </c>
      <c r="R661" s="5">
        <f t="shared" si="10"/>
        <v>0</v>
      </c>
    </row>
    <row r="662" spans="1:18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6" t="b">
        <f>ISNUMBER(financials[[#This Row],[Date]])</f>
        <v>1</v>
      </c>
      <c r="O662" s="8">
        <v>8</v>
      </c>
      <c r="P662" s="5" t="s">
        <v>77</v>
      </c>
      <c r="Q662" s="7" t="s">
        <v>15</v>
      </c>
      <c r="R662" s="5">
        <f t="shared" si="10"/>
        <v>0</v>
      </c>
    </row>
    <row r="663" spans="1:18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6" t="b">
        <f>ISNUMBER(financials[[#This Row],[Date]])</f>
        <v>1</v>
      </c>
      <c r="O663" s="8">
        <v>10</v>
      </c>
      <c r="P663" s="5" t="s">
        <v>79</v>
      </c>
      <c r="Q663" s="7" t="s">
        <v>14</v>
      </c>
      <c r="R663" s="5">
        <f t="shared" si="10"/>
        <v>0</v>
      </c>
    </row>
    <row r="664" spans="1:18" x14ac:dyDescent="0.3">
      <c r="A664" t="s">
        <v>11</v>
      </c>
      <c r="B664" t="s">
        <v>74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6" t="b">
        <f>ISNUMBER(financials[[#This Row],[Date]])</f>
        <v>1</v>
      </c>
      <c r="O664" s="8">
        <v>10</v>
      </c>
      <c r="P664" s="5" t="s">
        <v>79</v>
      </c>
      <c r="Q664" s="7" t="s">
        <v>15</v>
      </c>
      <c r="R664" s="5">
        <f t="shared" si="10"/>
        <v>0</v>
      </c>
    </row>
    <row r="665" spans="1:18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6" t="b">
        <f>ISNUMBER(financials[[#This Row],[Date]])</f>
        <v>1</v>
      </c>
      <c r="O665" s="8">
        <v>10</v>
      </c>
      <c r="P665" s="5" t="s">
        <v>79</v>
      </c>
      <c r="Q665" s="7" t="s">
        <v>15</v>
      </c>
      <c r="R665" s="5">
        <f t="shared" si="10"/>
        <v>0</v>
      </c>
    </row>
    <row r="666" spans="1:18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6" t="b">
        <f>ISNUMBER(financials[[#This Row],[Date]])</f>
        <v>1</v>
      </c>
      <c r="O666" s="8">
        <v>10</v>
      </c>
      <c r="P666" s="5" t="s">
        <v>79</v>
      </c>
      <c r="Q666" s="7" t="s">
        <v>14</v>
      </c>
      <c r="R666" s="5">
        <f t="shared" si="10"/>
        <v>0</v>
      </c>
    </row>
    <row r="667" spans="1:18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6" t="b">
        <f>ISNUMBER(financials[[#This Row],[Date]])</f>
        <v>1</v>
      </c>
      <c r="O667" s="8">
        <v>11</v>
      </c>
      <c r="P667" s="5" t="s">
        <v>80</v>
      </c>
      <c r="Q667" s="7" t="s">
        <v>14</v>
      </c>
      <c r="R667" s="5">
        <f t="shared" si="10"/>
        <v>0</v>
      </c>
    </row>
    <row r="668" spans="1:18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6" t="b">
        <f>ISNUMBER(financials[[#This Row],[Date]])</f>
        <v>1</v>
      </c>
      <c r="O668" s="8">
        <v>8</v>
      </c>
      <c r="P668" s="5" t="s">
        <v>77</v>
      </c>
      <c r="Q668" s="7" t="s">
        <v>15</v>
      </c>
      <c r="R668" s="5">
        <f t="shared" si="10"/>
        <v>0</v>
      </c>
    </row>
    <row r="669" spans="1:18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6" t="b">
        <f>ISNUMBER(financials[[#This Row],[Date]])</f>
        <v>1</v>
      </c>
      <c r="O669" s="8">
        <v>8</v>
      </c>
      <c r="P669" s="5" t="s">
        <v>77</v>
      </c>
      <c r="Q669" s="7" t="s">
        <v>15</v>
      </c>
      <c r="R669" s="5">
        <f t="shared" si="10"/>
        <v>0</v>
      </c>
    </row>
    <row r="670" spans="1:18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6" t="b">
        <f>ISNUMBER(financials[[#This Row],[Date]])</f>
        <v>1</v>
      </c>
      <c r="O670" s="8">
        <v>10</v>
      </c>
      <c r="P670" s="5" t="s">
        <v>79</v>
      </c>
      <c r="Q670" s="7" t="s">
        <v>15</v>
      </c>
      <c r="R670" s="5">
        <f t="shared" si="10"/>
        <v>0</v>
      </c>
    </row>
    <row r="671" spans="1:18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6" t="b">
        <f>ISNUMBER(financials[[#This Row],[Date]])</f>
        <v>1</v>
      </c>
      <c r="O671" s="8">
        <v>10</v>
      </c>
      <c r="P671" s="5" t="s">
        <v>79</v>
      </c>
      <c r="Q671" s="7" t="s">
        <v>15</v>
      </c>
      <c r="R671" s="5">
        <f t="shared" si="10"/>
        <v>0</v>
      </c>
    </row>
    <row r="672" spans="1:18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6" t="b">
        <f>ISNUMBER(financials[[#This Row],[Date]])</f>
        <v>1</v>
      </c>
      <c r="O672" s="8">
        <v>3</v>
      </c>
      <c r="P672" s="5" t="s">
        <v>82</v>
      </c>
      <c r="Q672" s="7" t="s">
        <v>15</v>
      </c>
      <c r="R672" s="5">
        <f t="shared" si="10"/>
        <v>0</v>
      </c>
    </row>
    <row r="673" spans="1:18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6" t="b">
        <f>ISNUMBER(financials[[#This Row],[Date]])</f>
        <v>1</v>
      </c>
      <c r="O673" s="8">
        <v>4</v>
      </c>
      <c r="P673" s="5" t="s">
        <v>24</v>
      </c>
      <c r="Q673" s="7" t="s">
        <v>15</v>
      </c>
      <c r="R673" s="5">
        <f t="shared" si="10"/>
        <v>0</v>
      </c>
    </row>
    <row r="674" spans="1:18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6" t="b">
        <f>ISNUMBER(financials[[#This Row],[Date]])</f>
        <v>1</v>
      </c>
      <c r="O674" s="8">
        <v>4</v>
      </c>
      <c r="P674" s="5" t="s">
        <v>24</v>
      </c>
      <c r="Q674" s="7" t="s">
        <v>15</v>
      </c>
      <c r="R674" s="5">
        <f t="shared" si="10"/>
        <v>0</v>
      </c>
    </row>
    <row r="675" spans="1:18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6" t="b">
        <f>ISNUMBER(financials[[#This Row],[Date]])</f>
        <v>1</v>
      </c>
      <c r="O675" s="8">
        <v>5</v>
      </c>
      <c r="P675" s="5" t="s">
        <v>25</v>
      </c>
      <c r="Q675" s="7" t="s">
        <v>15</v>
      </c>
      <c r="R675" s="5">
        <f t="shared" si="10"/>
        <v>0</v>
      </c>
    </row>
    <row r="676" spans="1:18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6" t="b">
        <f>ISNUMBER(financials[[#This Row],[Date]])</f>
        <v>1</v>
      </c>
      <c r="O676" s="8">
        <v>8</v>
      </c>
      <c r="P676" s="5" t="s">
        <v>77</v>
      </c>
      <c r="Q676" s="7" t="s">
        <v>15</v>
      </c>
      <c r="R676" s="5">
        <f t="shared" si="10"/>
        <v>0</v>
      </c>
    </row>
    <row r="677" spans="1:18" x14ac:dyDescent="0.3">
      <c r="A677" t="s">
        <v>10</v>
      </c>
      <c r="B677" t="s">
        <v>74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6" t="b">
        <f>ISNUMBER(financials[[#This Row],[Date]])</f>
        <v>1</v>
      </c>
      <c r="O677" s="8">
        <v>10</v>
      </c>
      <c r="P677" s="5" t="s">
        <v>79</v>
      </c>
      <c r="Q677" s="7" t="s">
        <v>14</v>
      </c>
      <c r="R677" s="5">
        <f t="shared" si="10"/>
        <v>0</v>
      </c>
    </row>
    <row r="678" spans="1:18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6" t="b">
        <f>ISNUMBER(financials[[#This Row],[Date]])</f>
        <v>1</v>
      </c>
      <c r="O678" s="8">
        <v>10</v>
      </c>
      <c r="P678" s="5" t="s">
        <v>79</v>
      </c>
      <c r="Q678" s="7" t="s">
        <v>15</v>
      </c>
      <c r="R678" s="5">
        <f t="shared" si="10"/>
        <v>0</v>
      </c>
    </row>
    <row r="679" spans="1:18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6" t="b">
        <f>ISNUMBER(financials[[#This Row],[Date]])</f>
        <v>1</v>
      </c>
      <c r="O679" s="8">
        <v>10</v>
      </c>
      <c r="P679" s="5" t="s">
        <v>79</v>
      </c>
      <c r="Q679" s="7" t="s">
        <v>15</v>
      </c>
      <c r="R679" s="5">
        <f t="shared" si="10"/>
        <v>0</v>
      </c>
    </row>
    <row r="680" spans="1:18" x14ac:dyDescent="0.3">
      <c r="A680" t="s">
        <v>10</v>
      </c>
      <c r="B680" t="s">
        <v>74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6" t="b">
        <f>ISNUMBER(financials[[#This Row],[Date]])</f>
        <v>1</v>
      </c>
      <c r="O680" s="8">
        <v>11</v>
      </c>
      <c r="P680" s="5" t="s">
        <v>80</v>
      </c>
      <c r="Q680" s="7" t="s">
        <v>14</v>
      </c>
      <c r="R680" s="5">
        <f t="shared" si="10"/>
        <v>0</v>
      </c>
    </row>
    <row r="681" spans="1:18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6" t="b">
        <f>ISNUMBER(financials[[#This Row],[Date]])</f>
        <v>1</v>
      </c>
      <c r="O681" s="8">
        <v>11</v>
      </c>
      <c r="P681" s="5" t="s">
        <v>80</v>
      </c>
      <c r="Q681" s="7" t="s">
        <v>14</v>
      </c>
      <c r="R681" s="5">
        <f t="shared" si="10"/>
        <v>0</v>
      </c>
    </row>
    <row r="682" spans="1:18" x14ac:dyDescent="0.3">
      <c r="A682" t="s">
        <v>11</v>
      </c>
      <c r="B682" t="s">
        <v>74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6" t="b">
        <f>ISNUMBER(financials[[#This Row],[Date]])</f>
        <v>1</v>
      </c>
      <c r="O682" s="8">
        <v>12</v>
      </c>
      <c r="P682" s="5" t="s">
        <v>81</v>
      </c>
      <c r="Q682" s="7" t="s">
        <v>15</v>
      </c>
      <c r="R682" s="5">
        <f t="shared" si="10"/>
        <v>0</v>
      </c>
    </row>
    <row r="683" spans="1:18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6" t="b">
        <f>ISNUMBER(financials[[#This Row],[Date]])</f>
        <v>1</v>
      </c>
      <c r="O683" s="8">
        <v>12</v>
      </c>
      <c r="P683" s="5" t="s">
        <v>81</v>
      </c>
      <c r="Q683" s="7" t="s">
        <v>15</v>
      </c>
      <c r="R683" s="5">
        <f t="shared" si="10"/>
        <v>0</v>
      </c>
    </row>
    <row r="684" spans="1:18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6" t="b">
        <f>ISNUMBER(financials[[#This Row],[Date]])</f>
        <v>1</v>
      </c>
      <c r="O684" s="8">
        <v>3</v>
      </c>
      <c r="P684" s="5" t="s">
        <v>82</v>
      </c>
      <c r="Q684" s="7" t="s">
        <v>15</v>
      </c>
      <c r="R684" s="5">
        <f t="shared" si="10"/>
        <v>0</v>
      </c>
    </row>
    <row r="685" spans="1:18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6" t="b">
        <f>ISNUMBER(financials[[#This Row],[Date]])</f>
        <v>1</v>
      </c>
      <c r="O685" s="8">
        <v>5</v>
      </c>
      <c r="P685" s="5" t="s">
        <v>25</v>
      </c>
      <c r="Q685" s="7" t="s">
        <v>15</v>
      </c>
      <c r="R685" s="5">
        <f t="shared" si="10"/>
        <v>0</v>
      </c>
    </row>
    <row r="686" spans="1:18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6" t="b">
        <f>ISNUMBER(financials[[#This Row],[Date]])</f>
        <v>1</v>
      </c>
      <c r="O686" s="8">
        <v>9</v>
      </c>
      <c r="P686" s="5" t="s">
        <v>78</v>
      </c>
      <c r="Q686" s="7" t="s">
        <v>15</v>
      </c>
      <c r="R686" s="5">
        <f t="shared" si="10"/>
        <v>0</v>
      </c>
    </row>
    <row r="687" spans="1:18" x14ac:dyDescent="0.3">
      <c r="A687" t="s">
        <v>7</v>
      </c>
      <c r="B687" t="s">
        <v>74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6" t="b">
        <f>ISNUMBER(financials[[#This Row],[Date]])</f>
        <v>1</v>
      </c>
      <c r="O687" s="8">
        <v>11</v>
      </c>
      <c r="P687" s="5" t="s">
        <v>80</v>
      </c>
      <c r="Q687" s="7" t="s">
        <v>14</v>
      </c>
      <c r="R687" s="5">
        <f t="shared" si="10"/>
        <v>0</v>
      </c>
    </row>
    <row r="688" spans="1:18" x14ac:dyDescent="0.3">
      <c r="A688" t="s">
        <v>9</v>
      </c>
      <c r="B688" t="s">
        <v>74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6" t="b">
        <f>ISNUMBER(financials[[#This Row],[Date]])</f>
        <v>1</v>
      </c>
      <c r="O688" s="8">
        <v>12</v>
      </c>
      <c r="P688" s="5" t="s">
        <v>81</v>
      </c>
      <c r="Q688" s="7" t="s">
        <v>14</v>
      </c>
      <c r="R688" s="5">
        <f t="shared" si="10"/>
        <v>0</v>
      </c>
    </row>
    <row r="689" spans="1:18" x14ac:dyDescent="0.3">
      <c r="A689" t="s">
        <v>11</v>
      </c>
      <c r="B689" t="s">
        <v>74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6" t="b">
        <f>ISNUMBER(financials[[#This Row],[Date]])</f>
        <v>1</v>
      </c>
      <c r="O689" s="8">
        <v>12</v>
      </c>
      <c r="P689" s="5" t="s">
        <v>81</v>
      </c>
      <c r="Q689" s="7" t="s">
        <v>15</v>
      </c>
      <c r="R689" s="5">
        <f t="shared" si="10"/>
        <v>0</v>
      </c>
    </row>
    <row r="690" spans="1:18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6" t="b">
        <f>ISNUMBER(financials[[#This Row],[Date]])</f>
        <v>1</v>
      </c>
      <c r="O690" s="8">
        <v>7</v>
      </c>
      <c r="P690" s="5" t="s">
        <v>27</v>
      </c>
      <c r="Q690" s="7" t="s">
        <v>15</v>
      </c>
      <c r="R690" s="5">
        <f t="shared" si="10"/>
        <v>0</v>
      </c>
    </row>
    <row r="691" spans="1:18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6" t="b">
        <f>ISNUMBER(financials[[#This Row],[Date]])</f>
        <v>1</v>
      </c>
      <c r="O691" s="8">
        <v>7</v>
      </c>
      <c r="P691" s="5" t="s">
        <v>27</v>
      </c>
      <c r="Q691" s="7" t="s">
        <v>15</v>
      </c>
      <c r="R691" s="5">
        <f t="shared" si="10"/>
        <v>0</v>
      </c>
    </row>
    <row r="692" spans="1:18" x14ac:dyDescent="0.3">
      <c r="A692" t="s">
        <v>10</v>
      </c>
      <c r="B692" t="s">
        <v>74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6" t="b">
        <f>ISNUMBER(financials[[#This Row],[Date]])</f>
        <v>1</v>
      </c>
      <c r="O692" s="8">
        <v>10</v>
      </c>
      <c r="P692" s="5" t="s">
        <v>79</v>
      </c>
      <c r="Q692" s="7" t="s">
        <v>14</v>
      </c>
      <c r="R692" s="5">
        <f t="shared" si="10"/>
        <v>0</v>
      </c>
    </row>
    <row r="693" spans="1:18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6" t="b">
        <f>ISNUMBER(financials[[#This Row],[Date]])</f>
        <v>1</v>
      </c>
      <c r="O693" s="8">
        <v>10</v>
      </c>
      <c r="P693" s="5" t="s">
        <v>79</v>
      </c>
      <c r="Q693" s="7" t="s">
        <v>15</v>
      </c>
      <c r="R693" s="5">
        <f t="shared" si="10"/>
        <v>0</v>
      </c>
    </row>
    <row r="694" spans="1:18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6" t="b">
        <f>ISNUMBER(financials[[#This Row],[Date]])</f>
        <v>1</v>
      </c>
      <c r="O694" s="8">
        <v>11</v>
      </c>
      <c r="P694" s="5" t="s">
        <v>80</v>
      </c>
      <c r="Q694" s="7" t="s">
        <v>14</v>
      </c>
      <c r="R694" s="5">
        <f t="shared" si="10"/>
        <v>0</v>
      </c>
    </row>
    <row r="695" spans="1:18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6" t="b">
        <f>ISNUMBER(financials[[#This Row],[Date]])</f>
        <v>1</v>
      </c>
      <c r="O695" s="8">
        <v>11</v>
      </c>
      <c r="P695" s="5" t="s">
        <v>80</v>
      </c>
      <c r="Q695" s="7" t="s">
        <v>15</v>
      </c>
      <c r="R695" s="5">
        <f t="shared" si="10"/>
        <v>0</v>
      </c>
    </row>
    <row r="696" spans="1:18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6" t="b">
        <f>ISNUMBER(financials[[#This Row],[Date]])</f>
        <v>1</v>
      </c>
      <c r="O696" s="8">
        <v>12</v>
      </c>
      <c r="P696" s="5" t="s">
        <v>81</v>
      </c>
      <c r="Q696" s="7" t="s">
        <v>15</v>
      </c>
      <c r="R696" s="5">
        <f t="shared" si="10"/>
        <v>0</v>
      </c>
    </row>
    <row r="697" spans="1:18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6" t="b">
        <f>ISNUMBER(financials[[#This Row],[Date]])</f>
        <v>1</v>
      </c>
      <c r="O697" s="8">
        <v>3</v>
      </c>
      <c r="P697" s="5" t="s">
        <v>82</v>
      </c>
      <c r="Q697" s="7" t="s">
        <v>15</v>
      </c>
      <c r="R697" s="5">
        <f t="shared" si="10"/>
        <v>0</v>
      </c>
    </row>
    <row r="698" spans="1:18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6" t="b">
        <f>ISNUMBER(financials[[#This Row],[Date]])</f>
        <v>1</v>
      </c>
      <c r="O698" s="8">
        <v>10</v>
      </c>
      <c r="P698" s="5" t="s">
        <v>79</v>
      </c>
      <c r="Q698" s="7" t="s">
        <v>15</v>
      </c>
      <c r="R698" s="5">
        <f t="shared" si="10"/>
        <v>0</v>
      </c>
    </row>
    <row r="699" spans="1:18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6" t="b">
        <f>ISNUMBER(financials[[#This Row],[Date]])</f>
        <v>1</v>
      </c>
      <c r="O699" s="8">
        <v>2</v>
      </c>
      <c r="P699" s="5" t="s">
        <v>75</v>
      </c>
      <c r="Q699" s="7" t="s">
        <v>15</v>
      </c>
      <c r="R699" s="5">
        <f t="shared" si="10"/>
        <v>0</v>
      </c>
    </row>
    <row r="700" spans="1:18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6" t="b">
        <f>ISNUMBER(financials[[#This Row],[Date]])</f>
        <v>1</v>
      </c>
      <c r="O700" s="8">
        <v>4</v>
      </c>
      <c r="P700" s="5" t="s">
        <v>24</v>
      </c>
      <c r="Q700" s="7" t="s">
        <v>15</v>
      </c>
      <c r="R700" s="5">
        <f t="shared" si="10"/>
        <v>0</v>
      </c>
    </row>
    <row r="701" spans="1:18" x14ac:dyDescent="0.3">
      <c r="A701" t="s">
        <v>11</v>
      </c>
      <c r="B701" t="s">
        <v>74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6" t="b">
        <f>ISNUMBER(financials[[#This Row],[Date]])</f>
        <v>1</v>
      </c>
      <c r="O701" s="8">
        <v>5</v>
      </c>
      <c r="P701" s="5" t="s">
        <v>25</v>
      </c>
      <c r="Q701" s="7" t="s">
        <v>15</v>
      </c>
      <c r="R701" s="5">
        <f t="shared" si="10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82DD-6693-4432-9754-8B065DDE1713}">
  <dimension ref="A1:R701"/>
  <sheetViews>
    <sheetView zoomScale="85" zoomScaleNormal="85" workbookViewId="0">
      <selection activeCell="N3" sqref="N3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44140625" style="2" bestFit="1" customWidth="1"/>
    <col min="17" max="17" width="19.21875" bestFit="1" customWidth="1"/>
  </cols>
  <sheetData>
    <row r="1" spans="1:18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6" t="s">
        <v>51</v>
      </c>
      <c r="O1" s="8" t="s">
        <v>13</v>
      </c>
      <c r="P1" s="5" t="s">
        <v>49</v>
      </c>
      <c r="Q1" s="7" t="s">
        <v>0</v>
      </c>
      <c r="R1" s="5" t="s">
        <v>50</v>
      </c>
    </row>
    <row r="2" spans="1:18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6" t="b">
        <f>ISNUMBER(financials3[[#This Row],[Date]])</f>
        <v>1</v>
      </c>
      <c r="O2" s="8">
        <v>1</v>
      </c>
      <c r="P2" s="5" t="s">
        <v>21</v>
      </c>
      <c r="Q2" s="7" t="s">
        <v>15</v>
      </c>
      <c r="R2" s="5">
        <f t="shared" ref="R2:R65" si="0">COUNTIFS(A:A,A2,B:B,B2,C:C,C2,D:D,D2,E:E,E2,F:F,F2,G:G,G2,H:H,H2,I:I,I2,J:J,J2,K:K,K2,L:L,L2,M:M,M2,N:N,O2,O:O,P2,P:P,Q2)</f>
        <v>0</v>
      </c>
    </row>
    <row r="3" spans="1:18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6" t="b">
        <f>ISNUMBER(financials3[[#This Row],[Date]])</f>
        <v>1</v>
      </c>
      <c r="O3" s="8">
        <v>1</v>
      </c>
      <c r="P3" s="5" t="s">
        <v>21</v>
      </c>
      <c r="Q3" s="7" t="s">
        <v>15</v>
      </c>
      <c r="R3" s="5">
        <f t="shared" si="0"/>
        <v>0</v>
      </c>
    </row>
    <row r="4" spans="1:18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6" t="b">
        <f>ISNUMBER(financials3[[#This Row],[Date]])</f>
        <v>1</v>
      </c>
      <c r="O4" s="8">
        <v>6</v>
      </c>
      <c r="P4" s="5" t="s">
        <v>26</v>
      </c>
      <c r="Q4" s="7" t="s">
        <v>15</v>
      </c>
      <c r="R4" s="5">
        <f t="shared" si="0"/>
        <v>0</v>
      </c>
    </row>
    <row r="5" spans="1:18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6" t="b">
        <f>ISNUMBER(financials3[[#This Row],[Date]])</f>
        <v>1</v>
      </c>
      <c r="O5" s="8">
        <v>6</v>
      </c>
      <c r="P5" s="5" t="s">
        <v>26</v>
      </c>
      <c r="Q5" s="7" t="s">
        <v>15</v>
      </c>
      <c r="R5" s="5">
        <f t="shared" si="0"/>
        <v>0</v>
      </c>
    </row>
    <row r="6" spans="1:18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6" t="b">
        <f>ISNUMBER(financials3[[#This Row],[Date]])</f>
        <v>1</v>
      </c>
      <c r="O6" s="8">
        <v>6</v>
      </c>
      <c r="P6" s="5" t="s">
        <v>26</v>
      </c>
      <c r="Q6" s="7" t="s">
        <v>15</v>
      </c>
      <c r="R6" s="5">
        <f t="shared" si="0"/>
        <v>0</v>
      </c>
    </row>
    <row r="7" spans="1:18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6" t="b">
        <f>ISNUMBER(financials3[[#This Row],[Date]])</f>
        <v>1</v>
      </c>
      <c r="O7" s="8">
        <v>12</v>
      </c>
      <c r="P7" s="5" t="s">
        <v>32</v>
      </c>
      <c r="Q7" s="7" t="s">
        <v>15</v>
      </c>
      <c r="R7" s="5">
        <f t="shared" si="0"/>
        <v>0</v>
      </c>
    </row>
    <row r="8" spans="1:18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6" t="b">
        <f>ISNUMBER(financials3[[#This Row],[Date]])</f>
        <v>1</v>
      </c>
      <c r="O8" s="8">
        <v>3</v>
      </c>
      <c r="P8" s="5" t="s">
        <v>23</v>
      </c>
      <c r="Q8" s="7" t="s">
        <v>15</v>
      </c>
      <c r="R8" s="5">
        <f t="shared" si="0"/>
        <v>0</v>
      </c>
    </row>
    <row r="9" spans="1:18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6" t="b">
        <f>ISNUMBER(financials3[[#This Row],[Date]])</f>
        <v>1</v>
      </c>
      <c r="O9" s="8">
        <v>6</v>
      </c>
      <c r="P9" s="5" t="s">
        <v>26</v>
      </c>
      <c r="Q9" s="7" t="s">
        <v>15</v>
      </c>
      <c r="R9" s="5">
        <f t="shared" si="0"/>
        <v>0</v>
      </c>
    </row>
    <row r="10" spans="1:18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6" t="b">
        <f>ISNUMBER(financials3[[#This Row],[Date]])</f>
        <v>1</v>
      </c>
      <c r="O10" s="8">
        <v>6</v>
      </c>
      <c r="P10" s="5" t="s">
        <v>26</v>
      </c>
      <c r="Q10" s="7" t="s">
        <v>15</v>
      </c>
      <c r="R10" s="5">
        <f t="shared" si="0"/>
        <v>0</v>
      </c>
    </row>
    <row r="11" spans="1:18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6" t="b">
        <f>ISNUMBER(financials3[[#This Row],[Date]])</f>
        <v>1</v>
      </c>
      <c r="O11" s="8">
        <v>6</v>
      </c>
      <c r="P11" s="5" t="s">
        <v>26</v>
      </c>
      <c r="Q11" s="7" t="s">
        <v>15</v>
      </c>
      <c r="R11" s="5">
        <f t="shared" si="0"/>
        <v>0</v>
      </c>
    </row>
    <row r="12" spans="1:18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6" t="b">
        <f>ISNUMBER(financials3[[#This Row],[Date]])</f>
        <v>1</v>
      </c>
      <c r="O12" s="8">
        <v>6</v>
      </c>
      <c r="P12" s="5" t="s">
        <v>26</v>
      </c>
      <c r="Q12" s="7" t="s">
        <v>15</v>
      </c>
      <c r="R12" s="5">
        <f t="shared" si="0"/>
        <v>0</v>
      </c>
    </row>
    <row r="13" spans="1:18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6" t="b">
        <f>ISNUMBER(financials3[[#This Row],[Date]])</f>
        <v>1</v>
      </c>
      <c r="O13" s="8">
        <v>7</v>
      </c>
      <c r="P13" s="5" t="s">
        <v>27</v>
      </c>
      <c r="Q13" s="7" t="s">
        <v>15</v>
      </c>
      <c r="R13" s="5">
        <f t="shared" si="0"/>
        <v>0</v>
      </c>
    </row>
    <row r="14" spans="1:18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6" t="b">
        <f>ISNUMBER(financials3[[#This Row],[Date]])</f>
        <v>1</v>
      </c>
      <c r="O14" s="8">
        <v>8</v>
      </c>
      <c r="P14" s="5" t="s">
        <v>28</v>
      </c>
      <c r="Q14" s="7" t="s">
        <v>15</v>
      </c>
      <c r="R14" s="5">
        <f t="shared" si="0"/>
        <v>0</v>
      </c>
    </row>
    <row r="15" spans="1:18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6" t="b">
        <f>ISNUMBER(financials3[[#This Row],[Date]])</f>
        <v>1</v>
      </c>
      <c r="O15" s="8">
        <v>9</v>
      </c>
      <c r="P15" s="5" t="s">
        <v>29</v>
      </c>
      <c r="Q15" s="7" t="s">
        <v>15</v>
      </c>
      <c r="R15" s="5">
        <f t="shared" si="0"/>
        <v>0</v>
      </c>
    </row>
    <row r="16" spans="1:18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6" t="b">
        <f>ISNUMBER(financials3[[#This Row],[Date]])</f>
        <v>1</v>
      </c>
      <c r="O16" s="8">
        <v>10</v>
      </c>
      <c r="P16" s="5" t="s">
        <v>30</v>
      </c>
      <c r="Q16" s="7" t="s">
        <v>14</v>
      </c>
      <c r="R16" s="5">
        <f t="shared" si="0"/>
        <v>0</v>
      </c>
    </row>
    <row r="17" spans="1:18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6" t="b">
        <f>ISNUMBER(financials3[[#This Row],[Date]])</f>
        <v>1</v>
      </c>
      <c r="O17" s="8">
        <v>12</v>
      </c>
      <c r="P17" s="5" t="s">
        <v>32</v>
      </c>
      <c r="Q17" s="7" t="s">
        <v>15</v>
      </c>
      <c r="R17" s="5">
        <f t="shared" si="0"/>
        <v>0</v>
      </c>
    </row>
    <row r="18" spans="1:18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6" t="b">
        <f>ISNUMBER(financials3[[#This Row],[Date]])</f>
        <v>1</v>
      </c>
      <c r="O18" s="8">
        <v>2</v>
      </c>
      <c r="P18" s="5" t="s">
        <v>22</v>
      </c>
      <c r="Q18" s="7" t="s">
        <v>15</v>
      </c>
      <c r="R18" s="5">
        <f t="shared" si="0"/>
        <v>0</v>
      </c>
    </row>
    <row r="19" spans="1:18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6" t="b">
        <f>ISNUMBER(financials3[[#This Row],[Date]])</f>
        <v>1</v>
      </c>
      <c r="O19" s="8">
        <v>2</v>
      </c>
      <c r="P19" s="5" t="s">
        <v>22</v>
      </c>
      <c r="Q19" s="7" t="s">
        <v>15</v>
      </c>
      <c r="R19" s="5">
        <f t="shared" si="0"/>
        <v>0</v>
      </c>
    </row>
    <row r="20" spans="1:18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6" t="b">
        <f>ISNUMBER(financials3[[#This Row],[Date]])</f>
        <v>1</v>
      </c>
      <c r="O20" s="8">
        <v>6</v>
      </c>
      <c r="P20" s="5" t="s">
        <v>26</v>
      </c>
      <c r="Q20" s="7" t="s">
        <v>15</v>
      </c>
      <c r="R20" s="5">
        <f t="shared" si="0"/>
        <v>0</v>
      </c>
    </row>
    <row r="21" spans="1:18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6" t="b">
        <f>ISNUMBER(financials3[[#This Row],[Date]])</f>
        <v>1</v>
      </c>
      <c r="O21" s="8">
        <v>6</v>
      </c>
      <c r="P21" s="5" t="s">
        <v>26</v>
      </c>
      <c r="Q21" s="7" t="s">
        <v>15</v>
      </c>
      <c r="R21" s="5">
        <f t="shared" si="0"/>
        <v>0</v>
      </c>
    </row>
    <row r="22" spans="1:18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6" t="b">
        <f>ISNUMBER(financials3[[#This Row],[Date]])</f>
        <v>1</v>
      </c>
      <c r="O22" s="8">
        <v>7</v>
      </c>
      <c r="P22" s="5" t="s">
        <v>27</v>
      </c>
      <c r="Q22" s="7" t="s">
        <v>15</v>
      </c>
      <c r="R22" s="5">
        <f t="shared" si="0"/>
        <v>0</v>
      </c>
    </row>
    <row r="23" spans="1:18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6" t="b">
        <f>ISNUMBER(financials3[[#This Row],[Date]])</f>
        <v>1</v>
      </c>
      <c r="O23" s="8">
        <v>8</v>
      </c>
      <c r="P23" s="5" t="s">
        <v>28</v>
      </c>
      <c r="Q23" s="7" t="s">
        <v>15</v>
      </c>
      <c r="R23" s="5">
        <f t="shared" si="0"/>
        <v>0</v>
      </c>
    </row>
    <row r="24" spans="1:18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6" t="b">
        <f>ISNUMBER(financials3[[#This Row],[Date]])</f>
        <v>1</v>
      </c>
      <c r="O24" s="8">
        <v>9</v>
      </c>
      <c r="P24" s="5" t="s">
        <v>29</v>
      </c>
      <c r="Q24" s="7" t="s">
        <v>14</v>
      </c>
      <c r="R24" s="5">
        <f t="shared" si="0"/>
        <v>0</v>
      </c>
    </row>
    <row r="25" spans="1:18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6" t="b">
        <f>ISNUMBER(financials3[[#This Row],[Date]])</f>
        <v>1</v>
      </c>
      <c r="O25" s="8">
        <v>9</v>
      </c>
      <c r="P25" s="5" t="s">
        <v>29</v>
      </c>
      <c r="Q25" s="7" t="s">
        <v>14</v>
      </c>
      <c r="R25" s="5">
        <f t="shared" si="0"/>
        <v>0</v>
      </c>
    </row>
    <row r="26" spans="1:18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6" t="b">
        <f>ISNUMBER(financials3[[#This Row],[Date]])</f>
        <v>1</v>
      </c>
      <c r="O26" s="8">
        <v>9</v>
      </c>
      <c r="P26" s="5" t="s">
        <v>29</v>
      </c>
      <c r="Q26" s="7" t="s">
        <v>15</v>
      </c>
      <c r="R26" s="5">
        <f t="shared" si="0"/>
        <v>0</v>
      </c>
    </row>
    <row r="27" spans="1:18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6" t="b">
        <f>ISNUMBER(financials3[[#This Row],[Date]])</f>
        <v>1</v>
      </c>
      <c r="O27" s="8">
        <v>10</v>
      </c>
      <c r="P27" s="5" t="s">
        <v>30</v>
      </c>
      <c r="Q27" s="7" t="s">
        <v>15</v>
      </c>
      <c r="R27" s="5">
        <f t="shared" si="0"/>
        <v>0</v>
      </c>
    </row>
    <row r="28" spans="1:18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6" t="b">
        <f>ISNUMBER(financials3[[#This Row],[Date]])</f>
        <v>1</v>
      </c>
      <c r="O28" s="8">
        <v>11</v>
      </c>
      <c r="P28" s="5" t="s">
        <v>31</v>
      </c>
      <c r="Q28" s="7" t="s">
        <v>14</v>
      </c>
      <c r="R28" s="5">
        <f t="shared" si="0"/>
        <v>0</v>
      </c>
    </row>
    <row r="29" spans="1:18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6" t="b">
        <f>ISNUMBER(financials3[[#This Row],[Date]])</f>
        <v>1</v>
      </c>
      <c r="O29" s="8">
        <v>11</v>
      </c>
      <c r="P29" s="5" t="s">
        <v>31</v>
      </c>
      <c r="Q29" s="7" t="s">
        <v>14</v>
      </c>
      <c r="R29" s="5">
        <f t="shared" si="0"/>
        <v>0</v>
      </c>
    </row>
    <row r="30" spans="1:18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6" t="b">
        <f>ISNUMBER(financials3[[#This Row],[Date]])</f>
        <v>1</v>
      </c>
      <c r="O30" s="8">
        <v>12</v>
      </c>
      <c r="P30" s="5" t="s">
        <v>32</v>
      </c>
      <c r="Q30" s="7" t="s">
        <v>14</v>
      </c>
      <c r="R30" s="5">
        <f t="shared" si="0"/>
        <v>0</v>
      </c>
    </row>
    <row r="31" spans="1:18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6" t="b">
        <f>ISNUMBER(financials3[[#This Row],[Date]])</f>
        <v>1</v>
      </c>
      <c r="O31" s="8">
        <v>12</v>
      </c>
      <c r="P31" s="5" t="s">
        <v>32</v>
      </c>
      <c r="Q31" s="7" t="s">
        <v>15</v>
      </c>
      <c r="R31" s="5">
        <f t="shared" si="0"/>
        <v>0</v>
      </c>
    </row>
    <row r="32" spans="1:18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6" t="b">
        <f>ISNUMBER(financials3[[#This Row],[Date]])</f>
        <v>1</v>
      </c>
      <c r="O32" s="8">
        <v>12</v>
      </c>
      <c r="P32" s="5" t="s">
        <v>32</v>
      </c>
      <c r="Q32" s="7" t="s">
        <v>15</v>
      </c>
      <c r="R32" s="5">
        <f t="shared" si="0"/>
        <v>0</v>
      </c>
    </row>
    <row r="33" spans="1:18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6" t="b">
        <f>ISNUMBER(financials3[[#This Row],[Date]])</f>
        <v>1</v>
      </c>
      <c r="O33" s="8">
        <v>1</v>
      </c>
      <c r="P33" s="5" t="s">
        <v>21</v>
      </c>
      <c r="Q33" s="7" t="s">
        <v>15</v>
      </c>
      <c r="R33" s="5">
        <f t="shared" si="0"/>
        <v>0</v>
      </c>
    </row>
    <row r="34" spans="1:18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6" t="b">
        <f>ISNUMBER(financials3[[#This Row],[Date]])</f>
        <v>1</v>
      </c>
      <c r="O34" s="8">
        <v>2</v>
      </c>
      <c r="P34" s="5" t="s">
        <v>22</v>
      </c>
      <c r="Q34" s="7" t="s">
        <v>15</v>
      </c>
      <c r="R34" s="5">
        <f t="shared" si="0"/>
        <v>0</v>
      </c>
    </row>
    <row r="35" spans="1:18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6" t="b">
        <f>ISNUMBER(financials3[[#This Row],[Date]])</f>
        <v>1</v>
      </c>
      <c r="O35" s="8">
        <v>3</v>
      </c>
      <c r="P35" s="5" t="s">
        <v>23</v>
      </c>
      <c r="Q35" s="7" t="s">
        <v>15</v>
      </c>
      <c r="R35" s="5">
        <f t="shared" si="0"/>
        <v>0</v>
      </c>
    </row>
    <row r="36" spans="1:18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6" t="b">
        <f>ISNUMBER(financials3[[#This Row],[Date]])</f>
        <v>1</v>
      </c>
      <c r="O36" s="8">
        <v>6</v>
      </c>
      <c r="P36" s="5" t="s">
        <v>26</v>
      </c>
      <c r="Q36" s="7" t="s">
        <v>15</v>
      </c>
      <c r="R36" s="5">
        <f t="shared" si="0"/>
        <v>0</v>
      </c>
    </row>
    <row r="37" spans="1:18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6" t="b">
        <f>ISNUMBER(financials3[[#This Row],[Date]])</f>
        <v>1</v>
      </c>
      <c r="O37" s="8">
        <v>6</v>
      </c>
      <c r="P37" s="5" t="s">
        <v>26</v>
      </c>
      <c r="Q37" s="7" t="s">
        <v>15</v>
      </c>
      <c r="R37" s="5">
        <f t="shared" si="0"/>
        <v>0</v>
      </c>
    </row>
    <row r="38" spans="1:18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6" t="b">
        <f>ISNUMBER(financials3[[#This Row],[Date]])</f>
        <v>1</v>
      </c>
      <c r="O38" s="8">
        <v>8</v>
      </c>
      <c r="P38" s="5" t="s">
        <v>28</v>
      </c>
      <c r="Q38" s="7" t="s">
        <v>15</v>
      </c>
      <c r="R38" s="5">
        <f t="shared" si="0"/>
        <v>0</v>
      </c>
    </row>
    <row r="39" spans="1:18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6" t="b">
        <f>ISNUMBER(financials3[[#This Row],[Date]])</f>
        <v>1</v>
      </c>
      <c r="O39" s="8">
        <v>10</v>
      </c>
      <c r="P39" s="5" t="s">
        <v>30</v>
      </c>
      <c r="Q39" s="7" t="s">
        <v>14</v>
      </c>
      <c r="R39" s="5">
        <f t="shared" si="0"/>
        <v>0</v>
      </c>
    </row>
    <row r="40" spans="1:18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6" t="b">
        <f>ISNUMBER(financials3[[#This Row],[Date]])</f>
        <v>1</v>
      </c>
      <c r="O40" s="8">
        <v>2</v>
      </c>
      <c r="P40" s="5" t="s">
        <v>22</v>
      </c>
      <c r="Q40" s="7" t="s">
        <v>15</v>
      </c>
      <c r="R40" s="5">
        <f t="shared" si="0"/>
        <v>0</v>
      </c>
    </row>
    <row r="41" spans="1:18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6" t="b">
        <f>ISNUMBER(financials3[[#This Row],[Date]])</f>
        <v>1</v>
      </c>
      <c r="O41" s="8">
        <v>4</v>
      </c>
      <c r="P41" s="5" t="s">
        <v>24</v>
      </c>
      <c r="Q41" s="7" t="s">
        <v>15</v>
      </c>
      <c r="R41" s="5">
        <f t="shared" si="0"/>
        <v>0</v>
      </c>
    </row>
    <row r="42" spans="1:18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6" t="b">
        <f>ISNUMBER(financials3[[#This Row],[Date]])</f>
        <v>1</v>
      </c>
      <c r="O42" s="8">
        <v>6</v>
      </c>
      <c r="P42" s="5" t="s">
        <v>26</v>
      </c>
      <c r="Q42" s="7" t="s">
        <v>15</v>
      </c>
      <c r="R42" s="5">
        <f t="shared" si="0"/>
        <v>0</v>
      </c>
    </row>
    <row r="43" spans="1:18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6" t="b">
        <f>ISNUMBER(financials3[[#This Row],[Date]])</f>
        <v>1</v>
      </c>
      <c r="O43" s="8">
        <v>6</v>
      </c>
      <c r="P43" s="5" t="s">
        <v>26</v>
      </c>
      <c r="Q43" s="7" t="s">
        <v>15</v>
      </c>
      <c r="R43" s="5">
        <f t="shared" si="0"/>
        <v>0</v>
      </c>
    </row>
    <row r="44" spans="1:18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6" t="b">
        <f>ISNUMBER(financials3[[#This Row],[Date]])</f>
        <v>1</v>
      </c>
      <c r="O44" s="8">
        <v>9</v>
      </c>
      <c r="P44" s="5" t="s">
        <v>29</v>
      </c>
      <c r="Q44" s="7" t="s">
        <v>14</v>
      </c>
      <c r="R44" s="5">
        <f t="shared" si="0"/>
        <v>0</v>
      </c>
    </row>
    <row r="45" spans="1:18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6" t="b">
        <f>ISNUMBER(financials3[[#This Row],[Date]])</f>
        <v>1</v>
      </c>
      <c r="O45" s="8">
        <v>9</v>
      </c>
      <c r="P45" s="5" t="s">
        <v>29</v>
      </c>
      <c r="Q45" s="7" t="s">
        <v>15</v>
      </c>
      <c r="R45" s="5">
        <f t="shared" si="0"/>
        <v>0</v>
      </c>
    </row>
    <row r="46" spans="1:18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6" t="b">
        <f>ISNUMBER(financials3[[#This Row],[Date]])</f>
        <v>1</v>
      </c>
      <c r="O46" s="8">
        <v>12</v>
      </c>
      <c r="P46" s="5" t="s">
        <v>32</v>
      </c>
      <c r="Q46" s="7" t="s">
        <v>15</v>
      </c>
      <c r="R46" s="5">
        <f t="shared" si="0"/>
        <v>0</v>
      </c>
    </row>
    <row r="47" spans="1:18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6" t="b">
        <f>ISNUMBER(financials3[[#This Row],[Date]])</f>
        <v>1</v>
      </c>
      <c r="O47" s="8">
        <v>2</v>
      </c>
      <c r="P47" s="5" t="s">
        <v>22</v>
      </c>
      <c r="Q47" s="7" t="s">
        <v>15</v>
      </c>
      <c r="R47" s="5">
        <f t="shared" si="0"/>
        <v>0</v>
      </c>
    </row>
    <row r="48" spans="1:18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6" t="b">
        <f>ISNUMBER(financials3[[#This Row],[Date]])</f>
        <v>1</v>
      </c>
      <c r="O48" s="8">
        <v>4</v>
      </c>
      <c r="P48" s="5" t="s">
        <v>24</v>
      </c>
      <c r="Q48" s="7" t="s">
        <v>15</v>
      </c>
      <c r="R48" s="5">
        <f t="shared" si="0"/>
        <v>0</v>
      </c>
    </row>
    <row r="49" spans="1:18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6" t="b">
        <f>ISNUMBER(financials3[[#This Row],[Date]])</f>
        <v>1</v>
      </c>
      <c r="O49" s="8">
        <v>4</v>
      </c>
      <c r="P49" s="5" t="s">
        <v>24</v>
      </c>
      <c r="Q49" s="7" t="s">
        <v>15</v>
      </c>
      <c r="R49" s="5">
        <f t="shared" si="0"/>
        <v>0</v>
      </c>
    </row>
    <row r="50" spans="1:18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6" t="b">
        <f>ISNUMBER(financials3[[#This Row],[Date]])</f>
        <v>1</v>
      </c>
      <c r="O50" s="8">
        <v>6</v>
      </c>
      <c r="P50" s="5" t="s">
        <v>26</v>
      </c>
      <c r="Q50" s="7" t="s">
        <v>15</v>
      </c>
      <c r="R50" s="5">
        <f t="shared" si="0"/>
        <v>0</v>
      </c>
    </row>
    <row r="51" spans="1:18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6" t="b">
        <f>ISNUMBER(financials3[[#This Row],[Date]])</f>
        <v>1</v>
      </c>
      <c r="O51" s="8">
        <v>7</v>
      </c>
      <c r="P51" s="5" t="s">
        <v>27</v>
      </c>
      <c r="Q51" s="7" t="s">
        <v>15</v>
      </c>
      <c r="R51" s="5">
        <f t="shared" si="0"/>
        <v>0</v>
      </c>
    </row>
    <row r="52" spans="1:18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6" t="b">
        <f>ISNUMBER(financials3[[#This Row],[Date]])</f>
        <v>1</v>
      </c>
      <c r="O52" s="8">
        <v>8</v>
      </c>
      <c r="P52" s="5" t="s">
        <v>28</v>
      </c>
      <c r="Q52" s="7" t="s">
        <v>15</v>
      </c>
      <c r="R52" s="5">
        <f t="shared" si="0"/>
        <v>0</v>
      </c>
    </row>
    <row r="53" spans="1:18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6" t="b">
        <f>ISNUMBER(financials3[[#This Row],[Date]])</f>
        <v>1</v>
      </c>
      <c r="O53" s="8">
        <v>10</v>
      </c>
      <c r="P53" s="5" t="s">
        <v>30</v>
      </c>
      <c r="Q53" s="7" t="s">
        <v>15</v>
      </c>
      <c r="R53" s="5">
        <f t="shared" si="0"/>
        <v>0</v>
      </c>
    </row>
    <row r="54" spans="1:18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6" t="b">
        <f>ISNUMBER(financials3[[#This Row],[Date]])</f>
        <v>1</v>
      </c>
      <c r="O54" s="8">
        <v>12</v>
      </c>
      <c r="P54" s="5" t="s">
        <v>32</v>
      </c>
      <c r="Q54" s="7" t="s">
        <v>15</v>
      </c>
      <c r="R54" s="5">
        <f t="shared" si="0"/>
        <v>0</v>
      </c>
    </row>
    <row r="55" spans="1:18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6" t="b">
        <f>ISNUMBER(financials3[[#This Row],[Date]])</f>
        <v>1</v>
      </c>
      <c r="O55" s="8">
        <v>1</v>
      </c>
      <c r="P55" s="5" t="s">
        <v>21</v>
      </c>
      <c r="Q55" s="7" t="s">
        <v>15</v>
      </c>
      <c r="R55" s="5">
        <f t="shared" si="0"/>
        <v>0</v>
      </c>
    </row>
    <row r="56" spans="1:18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6" t="b">
        <f>ISNUMBER(financials3[[#This Row],[Date]])</f>
        <v>1</v>
      </c>
      <c r="O56" s="8">
        <v>2</v>
      </c>
      <c r="P56" s="5" t="s">
        <v>22</v>
      </c>
      <c r="Q56" s="7" t="s">
        <v>15</v>
      </c>
      <c r="R56" s="5">
        <f t="shared" si="0"/>
        <v>0</v>
      </c>
    </row>
    <row r="57" spans="1:18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6" t="b">
        <f>ISNUMBER(financials3[[#This Row],[Date]])</f>
        <v>1</v>
      </c>
      <c r="O57" s="8">
        <v>5</v>
      </c>
      <c r="P57" s="5" t="s">
        <v>25</v>
      </c>
      <c r="Q57" s="7" t="s">
        <v>15</v>
      </c>
      <c r="R57" s="5">
        <f t="shared" si="0"/>
        <v>0</v>
      </c>
    </row>
    <row r="58" spans="1:18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6" t="b">
        <f>ISNUMBER(financials3[[#This Row],[Date]])</f>
        <v>1</v>
      </c>
      <c r="O58" s="8">
        <v>11</v>
      </c>
      <c r="P58" s="5" t="s">
        <v>31</v>
      </c>
      <c r="Q58" s="7" t="s">
        <v>15</v>
      </c>
      <c r="R58" s="5">
        <f t="shared" si="0"/>
        <v>0</v>
      </c>
    </row>
    <row r="59" spans="1:18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6" t="b">
        <f>ISNUMBER(financials3[[#This Row],[Date]])</f>
        <v>1</v>
      </c>
      <c r="O59" s="8">
        <v>3</v>
      </c>
      <c r="P59" s="5" t="s">
        <v>23</v>
      </c>
      <c r="Q59" s="7" t="s">
        <v>15</v>
      </c>
      <c r="R59" s="5">
        <f t="shared" si="0"/>
        <v>0</v>
      </c>
    </row>
    <row r="60" spans="1:18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6" t="b">
        <f>ISNUMBER(financials3[[#This Row],[Date]])</f>
        <v>1</v>
      </c>
      <c r="O60" s="8">
        <v>2</v>
      </c>
      <c r="P60" s="5" t="s">
        <v>22</v>
      </c>
      <c r="Q60" s="7" t="s">
        <v>15</v>
      </c>
      <c r="R60" s="5">
        <f t="shared" si="0"/>
        <v>0</v>
      </c>
    </row>
    <row r="61" spans="1:18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6" t="b">
        <f>ISNUMBER(financials3[[#This Row],[Date]])</f>
        <v>1</v>
      </c>
      <c r="O61" s="8">
        <v>3</v>
      </c>
      <c r="P61" s="5" t="s">
        <v>23</v>
      </c>
      <c r="Q61" s="7" t="s">
        <v>15</v>
      </c>
      <c r="R61" s="5">
        <f t="shared" si="0"/>
        <v>0</v>
      </c>
    </row>
    <row r="62" spans="1:18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6" t="b">
        <f>ISNUMBER(financials3[[#This Row],[Date]])</f>
        <v>1</v>
      </c>
      <c r="O62" s="8">
        <v>7</v>
      </c>
      <c r="P62" s="5" t="s">
        <v>27</v>
      </c>
      <c r="Q62" s="7" t="s">
        <v>15</v>
      </c>
      <c r="R62" s="5">
        <f t="shared" si="0"/>
        <v>0</v>
      </c>
    </row>
    <row r="63" spans="1:18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6" t="b">
        <f>ISNUMBER(financials3[[#This Row],[Date]])</f>
        <v>1</v>
      </c>
      <c r="O63" s="8">
        <v>9</v>
      </c>
      <c r="P63" s="5" t="s">
        <v>29</v>
      </c>
      <c r="Q63" s="7" t="s">
        <v>15</v>
      </c>
      <c r="R63" s="5">
        <f t="shared" si="0"/>
        <v>0</v>
      </c>
    </row>
    <row r="64" spans="1:18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6" t="b">
        <f>ISNUMBER(financials3[[#This Row],[Date]])</f>
        <v>1</v>
      </c>
      <c r="O64" s="8">
        <v>9</v>
      </c>
      <c r="P64" s="5" t="s">
        <v>29</v>
      </c>
      <c r="Q64" s="7" t="s">
        <v>14</v>
      </c>
      <c r="R64" s="5">
        <f t="shared" si="0"/>
        <v>0</v>
      </c>
    </row>
    <row r="65" spans="1:18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6" t="b">
        <f>ISNUMBER(financials3[[#This Row],[Date]])</f>
        <v>1</v>
      </c>
      <c r="O65" s="8">
        <v>9</v>
      </c>
      <c r="P65" s="5" t="s">
        <v>29</v>
      </c>
      <c r="Q65" s="7" t="s">
        <v>15</v>
      </c>
      <c r="R65" s="5">
        <f t="shared" si="0"/>
        <v>0</v>
      </c>
    </row>
    <row r="66" spans="1:18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6" t="b">
        <f>ISNUMBER(financials3[[#This Row],[Date]])</f>
        <v>1</v>
      </c>
      <c r="O66" s="8">
        <v>10</v>
      </c>
      <c r="P66" s="5" t="s">
        <v>30</v>
      </c>
      <c r="Q66" s="7" t="s">
        <v>14</v>
      </c>
      <c r="R66" s="5">
        <f t="shared" ref="R66:R129" si="1">COUNTIFS(A:A,A66,B:B,B66,C:C,C66,D:D,D66,E:E,E66,F:F,F66,G:G,G66,H:H,H66,I:I,I66,J:J,J66,K:K,K66,L:L,L66,M:M,M66,N:N,O66,O:O,P66,P:P,Q66)</f>
        <v>0</v>
      </c>
    </row>
    <row r="67" spans="1:18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6" t="b">
        <f>ISNUMBER(financials3[[#This Row],[Date]])</f>
        <v>1</v>
      </c>
      <c r="O67" s="8">
        <v>10</v>
      </c>
      <c r="P67" s="5" t="s">
        <v>30</v>
      </c>
      <c r="Q67" s="7" t="s">
        <v>14</v>
      </c>
      <c r="R67" s="5">
        <f t="shared" si="1"/>
        <v>0</v>
      </c>
    </row>
    <row r="68" spans="1:18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6" t="b">
        <f>ISNUMBER(financials3[[#This Row],[Date]])</f>
        <v>1</v>
      </c>
      <c r="O68" s="8">
        <v>10</v>
      </c>
      <c r="P68" s="5" t="s">
        <v>30</v>
      </c>
      <c r="Q68" s="7" t="s">
        <v>15</v>
      </c>
      <c r="R68" s="5">
        <f t="shared" si="1"/>
        <v>0</v>
      </c>
    </row>
    <row r="69" spans="1:18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6" t="b">
        <f>ISNUMBER(financials3[[#This Row],[Date]])</f>
        <v>1</v>
      </c>
      <c r="O69" s="8">
        <v>12</v>
      </c>
      <c r="P69" s="5" t="s">
        <v>32</v>
      </c>
      <c r="Q69" s="7" t="s">
        <v>15</v>
      </c>
      <c r="R69" s="5">
        <f t="shared" si="1"/>
        <v>0</v>
      </c>
    </row>
    <row r="70" spans="1:18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6" t="b">
        <f>ISNUMBER(financials3[[#This Row],[Date]])</f>
        <v>1</v>
      </c>
      <c r="O70" s="8">
        <v>3</v>
      </c>
      <c r="P70" s="5" t="s">
        <v>23</v>
      </c>
      <c r="Q70" s="7" t="s">
        <v>15</v>
      </c>
      <c r="R70" s="5">
        <f t="shared" si="1"/>
        <v>0</v>
      </c>
    </row>
    <row r="71" spans="1:18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6" t="b">
        <f>ISNUMBER(financials3[[#This Row],[Date]])</f>
        <v>1</v>
      </c>
      <c r="O71" s="8">
        <v>4</v>
      </c>
      <c r="P71" s="5" t="s">
        <v>24</v>
      </c>
      <c r="Q71" s="7" t="s">
        <v>15</v>
      </c>
      <c r="R71" s="5">
        <f t="shared" si="1"/>
        <v>0</v>
      </c>
    </row>
    <row r="72" spans="1:18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6" t="b">
        <f>ISNUMBER(financials3[[#This Row],[Date]])</f>
        <v>1</v>
      </c>
      <c r="O72" s="8">
        <v>7</v>
      </c>
      <c r="P72" s="5" t="s">
        <v>27</v>
      </c>
      <c r="Q72" s="7" t="s">
        <v>15</v>
      </c>
      <c r="R72" s="5">
        <f t="shared" si="1"/>
        <v>0</v>
      </c>
    </row>
    <row r="73" spans="1:18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6" t="b">
        <f>ISNUMBER(financials3[[#This Row],[Date]])</f>
        <v>1</v>
      </c>
      <c r="O73" s="8">
        <v>8</v>
      </c>
      <c r="P73" s="5" t="s">
        <v>28</v>
      </c>
      <c r="Q73" s="7" t="s">
        <v>15</v>
      </c>
      <c r="R73" s="5">
        <f t="shared" si="1"/>
        <v>0</v>
      </c>
    </row>
    <row r="74" spans="1:18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6" t="b">
        <f>ISNUMBER(financials3[[#This Row],[Date]])</f>
        <v>1</v>
      </c>
      <c r="O74" s="8">
        <v>9</v>
      </c>
      <c r="P74" s="5" t="s">
        <v>29</v>
      </c>
      <c r="Q74" s="7" t="s">
        <v>14</v>
      </c>
      <c r="R74" s="5">
        <f t="shared" si="1"/>
        <v>0</v>
      </c>
    </row>
    <row r="75" spans="1:18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6" t="b">
        <f>ISNUMBER(financials3[[#This Row],[Date]])</f>
        <v>1</v>
      </c>
      <c r="O75" s="8">
        <v>10</v>
      </c>
      <c r="P75" s="5" t="s">
        <v>30</v>
      </c>
      <c r="Q75" s="7" t="s">
        <v>14</v>
      </c>
      <c r="R75" s="5">
        <f t="shared" si="1"/>
        <v>0</v>
      </c>
    </row>
    <row r="76" spans="1:18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6" t="b">
        <f>ISNUMBER(financials3[[#This Row],[Date]])</f>
        <v>1</v>
      </c>
      <c r="O76" s="8">
        <v>2</v>
      </c>
      <c r="P76" s="5" t="s">
        <v>22</v>
      </c>
      <c r="Q76" s="7" t="s">
        <v>15</v>
      </c>
      <c r="R76" s="5">
        <f t="shared" si="1"/>
        <v>0</v>
      </c>
    </row>
    <row r="77" spans="1:18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6" t="b">
        <f>ISNUMBER(financials3[[#This Row],[Date]])</f>
        <v>1</v>
      </c>
      <c r="O77" s="8">
        <v>4</v>
      </c>
      <c r="P77" s="5" t="s">
        <v>24</v>
      </c>
      <c r="Q77" s="7" t="s">
        <v>15</v>
      </c>
      <c r="R77" s="5">
        <f t="shared" si="1"/>
        <v>0</v>
      </c>
    </row>
    <row r="78" spans="1:18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6" t="b">
        <f>ISNUMBER(financials3[[#This Row],[Date]])</f>
        <v>1</v>
      </c>
      <c r="O78" s="8">
        <v>6</v>
      </c>
      <c r="P78" s="5" t="s">
        <v>26</v>
      </c>
      <c r="Q78" s="7" t="s">
        <v>15</v>
      </c>
      <c r="R78" s="5">
        <f t="shared" si="1"/>
        <v>0</v>
      </c>
    </row>
    <row r="79" spans="1:18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6" t="b">
        <f>ISNUMBER(financials3[[#This Row],[Date]])</f>
        <v>1</v>
      </c>
      <c r="O79" s="8">
        <v>6</v>
      </c>
      <c r="P79" s="5" t="s">
        <v>26</v>
      </c>
      <c r="Q79" s="7" t="s">
        <v>15</v>
      </c>
      <c r="R79" s="5">
        <f t="shared" si="1"/>
        <v>0</v>
      </c>
    </row>
    <row r="80" spans="1:18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6" t="b">
        <f>ISNUMBER(financials3[[#This Row],[Date]])</f>
        <v>1</v>
      </c>
      <c r="O80" s="8">
        <v>7</v>
      </c>
      <c r="P80" s="5" t="s">
        <v>27</v>
      </c>
      <c r="Q80" s="7" t="s">
        <v>15</v>
      </c>
      <c r="R80" s="5">
        <f t="shared" si="1"/>
        <v>0</v>
      </c>
    </row>
    <row r="81" spans="1:18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6" t="b">
        <f>ISNUMBER(financials3[[#This Row],[Date]])</f>
        <v>1</v>
      </c>
      <c r="O81" s="8">
        <v>9</v>
      </c>
      <c r="P81" s="5" t="s">
        <v>29</v>
      </c>
      <c r="Q81" s="7" t="s">
        <v>15</v>
      </c>
      <c r="R81" s="5">
        <f t="shared" si="1"/>
        <v>0</v>
      </c>
    </row>
    <row r="82" spans="1:18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6" t="b">
        <f>ISNUMBER(financials3[[#This Row],[Date]])</f>
        <v>1</v>
      </c>
      <c r="O82" s="8">
        <v>10</v>
      </c>
      <c r="P82" s="5" t="s">
        <v>30</v>
      </c>
      <c r="Q82" s="7" t="s">
        <v>14</v>
      </c>
      <c r="R82" s="5">
        <f t="shared" si="1"/>
        <v>0</v>
      </c>
    </row>
    <row r="83" spans="1:18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6" t="b">
        <f>ISNUMBER(financials3[[#This Row],[Date]])</f>
        <v>1</v>
      </c>
      <c r="O83" s="8">
        <v>11</v>
      </c>
      <c r="P83" s="5" t="s">
        <v>31</v>
      </c>
      <c r="Q83" s="7" t="s">
        <v>15</v>
      </c>
      <c r="R83" s="5">
        <f t="shared" si="1"/>
        <v>0</v>
      </c>
    </row>
    <row r="84" spans="1:18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6" t="b">
        <f>ISNUMBER(financials3[[#This Row],[Date]])</f>
        <v>1</v>
      </c>
      <c r="O84" s="8">
        <v>12</v>
      </c>
      <c r="P84" s="5" t="s">
        <v>32</v>
      </c>
      <c r="Q84" s="7" t="s">
        <v>15</v>
      </c>
      <c r="R84" s="5">
        <f t="shared" si="1"/>
        <v>0</v>
      </c>
    </row>
    <row r="85" spans="1:18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6" t="b">
        <f>ISNUMBER(financials3[[#This Row],[Date]])</f>
        <v>1</v>
      </c>
      <c r="O85" s="8">
        <v>4</v>
      </c>
      <c r="P85" s="5" t="s">
        <v>24</v>
      </c>
      <c r="Q85" s="7" t="s">
        <v>15</v>
      </c>
      <c r="R85" s="5">
        <f t="shared" si="1"/>
        <v>0</v>
      </c>
    </row>
    <row r="86" spans="1:18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6" t="b">
        <f>ISNUMBER(financials3[[#This Row],[Date]])</f>
        <v>1</v>
      </c>
      <c r="O86" s="8">
        <v>5</v>
      </c>
      <c r="P86" s="5" t="s">
        <v>25</v>
      </c>
      <c r="Q86" s="7" t="s">
        <v>15</v>
      </c>
      <c r="R86" s="5">
        <f t="shared" si="1"/>
        <v>0</v>
      </c>
    </row>
    <row r="87" spans="1:18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6" t="b">
        <f>ISNUMBER(financials3[[#This Row],[Date]])</f>
        <v>1</v>
      </c>
      <c r="O87" s="8">
        <v>8</v>
      </c>
      <c r="P87" s="5" t="s">
        <v>28</v>
      </c>
      <c r="Q87" s="7" t="s">
        <v>15</v>
      </c>
      <c r="R87" s="5">
        <f t="shared" si="1"/>
        <v>0</v>
      </c>
    </row>
    <row r="88" spans="1:18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6" t="b">
        <f>ISNUMBER(financials3[[#This Row],[Date]])</f>
        <v>1</v>
      </c>
      <c r="O88" s="8">
        <v>10</v>
      </c>
      <c r="P88" s="5" t="s">
        <v>30</v>
      </c>
      <c r="Q88" s="7" t="s">
        <v>14</v>
      </c>
      <c r="R88" s="5">
        <f t="shared" si="1"/>
        <v>0</v>
      </c>
    </row>
    <row r="89" spans="1:18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6" t="b">
        <f>ISNUMBER(financials3[[#This Row],[Date]])</f>
        <v>1</v>
      </c>
      <c r="O89" s="8">
        <v>11</v>
      </c>
      <c r="P89" s="5" t="s">
        <v>31</v>
      </c>
      <c r="Q89" s="7" t="s">
        <v>14</v>
      </c>
      <c r="R89" s="5">
        <f t="shared" si="1"/>
        <v>0</v>
      </c>
    </row>
    <row r="90" spans="1:18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6" t="b">
        <f>ISNUMBER(financials3[[#This Row],[Date]])</f>
        <v>1</v>
      </c>
      <c r="O90" s="8">
        <v>3</v>
      </c>
      <c r="P90" s="5" t="s">
        <v>23</v>
      </c>
      <c r="Q90" s="7" t="s">
        <v>15</v>
      </c>
      <c r="R90" s="5">
        <f t="shared" si="1"/>
        <v>0</v>
      </c>
    </row>
    <row r="91" spans="1:18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6" t="b">
        <f>ISNUMBER(financials3[[#This Row],[Date]])</f>
        <v>1</v>
      </c>
      <c r="O91" s="8">
        <v>4</v>
      </c>
      <c r="P91" s="5" t="s">
        <v>24</v>
      </c>
      <c r="Q91" s="7" t="s">
        <v>15</v>
      </c>
      <c r="R91" s="5">
        <f t="shared" si="1"/>
        <v>0</v>
      </c>
    </row>
    <row r="92" spans="1:18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6" t="b">
        <f>ISNUMBER(financials3[[#This Row],[Date]])</f>
        <v>1</v>
      </c>
      <c r="O92" s="8">
        <v>6</v>
      </c>
      <c r="P92" s="5" t="s">
        <v>26</v>
      </c>
      <c r="Q92" s="7" t="s">
        <v>15</v>
      </c>
      <c r="R92" s="5">
        <f t="shared" si="1"/>
        <v>0</v>
      </c>
    </row>
    <row r="93" spans="1:18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6" t="b">
        <f>ISNUMBER(financials3[[#This Row],[Date]])</f>
        <v>1</v>
      </c>
      <c r="O93" s="8">
        <v>6</v>
      </c>
      <c r="P93" s="5" t="s">
        <v>26</v>
      </c>
      <c r="Q93" s="7" t="s">
        <v>15</v>
      </c>
      <c r="R93" s="5">
        <f t="shared" si="1"/>
        <v>0</v>
      </c>
    </row>
    <row r="94" spans="1:18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6" t="b">
        <f>ISNUMBER(financials3[[#This Row],[Date]])</f>
        <v>1</v>
      </c>
      <c r="O94" s="8">
        <v>9</v>
      </c>
      <c r="P94" s="5" t="s">
        <v>29</v>
      </c>
      <c r="Q94" s="7" t="s">
        <v>15</v>
      </c>
      <c r="R94" s="5">
        <f t="shared" si="1"/>
        <v>0</v>
      </c>
    </row>
    <row r="95" spans="1:18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6" t="b">
        <f>ISNUMBER(financials3[[#This Row],[Date]])</f>
        <v>1</v>
      </c>
      <c r="O95" s="8">
        <v>10</v>
      </c>
      <c r="P95" s="5" t="s">
        <v>30</v>
      </c>
      <c r="Q95" s="7" t="s">
        <v>14</v>
      </c>
      <c r="R95" s="5">
        <f t="shared" si="1"/>
        <v>0</v>
      </c>
    </row>
    <row r="96" spans="1:18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6" t="b">
        <f>ISNUMBER(financials3[[#This Row],[Date]])</f>
        <v>1</v>
      </c>
      <c r="O96" s="8">
        <v>10</v>
      </c>
      <c r="P96" s="5" t="s">
        <v>30</v>
      </c>
      <c r="Q96" s="7" t="s">
        <v>15</v>
      </c>
      <c r="R96" s="5">
        <f t="shared" si="1"/>
        <v>0</v>
      </c>
    </row>
    <row r="97" spans="1:18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6" t="b">
        <f>ISNUMBER(financials3[[#This Row],[Date]])</f>
        <v>1</v>
      </c>
      <c r="O97" s="8">
        <v>11</v>
      </c>
      <c r="P97" s="5" t="s">
        <v>31</v>
      </c>
      <c r="Q97" s="7" t="s">
        <v>15</v>
      </c>
      <c r="R97" s="5">
        <f t="shared" si="1"/>
        <v>0</v>
      </c>
    </row>
    <row r="98" spans="1:18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6" t="b">
        <f>ISNUMBER(financials3[[#This Row],[Date]])</f>
        <v>1</v>
      </c>
      <c r="O98" s="8">
        <v>9</v>
      </c>
      <c r="P98" s="5" t="s">
        <v>29</v>
      </c>
      <c r="Q98" s="7" t="s">
        <v>14</v>
      </c>
      <c r="R98" s="5">
        <f t="shared" si="1"/>
        <v>0</v>
      </c>
    </row>
    <row r="99" spans="1:18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6" t="b">
        <f>ISNUMBER(financials3[[#This Row],[Date]])</f>
        <v>1</v>
      </c>
      <c r="O99" s="8">
        <v>11</v>
      </c>
      <c r="P99" s="5" t="s">
        <v>31</v>
      </c>
      <c r="Q99" s="7" t="s">
        <v>14</v>
      </c>
      <c r="R99" s="5">
        <f t="shared" si="1"/>
        <v>0</v>
      </c>
    </row>
    <row r="100" spans="1:18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6" t="b">
        <f>ISNUMBER(financials3[[#This Row],[Date]])</f>
        <v>1</v>
      </c>
      <c r="O100" s="8">
        <v>4</v>
      </c>
      <c r="P100" s="5" t="s">
        <v>24</v>
      </c>
      <c r="Q100" s="7" t="s">
        <v>15</v>
      </c>
      <c r="R100" s="5">
        <f t="shared" si="1"/>
        <v>0</v>
      </c>
    </row>
    <row r="101" spans="1:18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6" t="b">
        <f>ISNUMBER(financials3[[#This Row],[Date]])</f>
        <v>1</v>
      </c>
      <c r="O101" s="8">
        <v>10</v>
      </c>
      <c r="P101" s="5" t="s">
        <v>30</v>
      </c>
      <c r="Q101" s="7" t="s">
        <v>15</v>
      </c>
      <c r="R101" s="5">
        <f t="shared" si="1"/>
        <v>0</v>
      </c>
    </row>
    <row r="102" spans="1:18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6" t="b">
        <f>ISNUMBER(financials3[[#This Row],[Date]])</f>
        <v>1</v>
      </c>
      <c r="O102" s="8">
        <v>10</v>
      </c>
      <c r="P102" s="5" t="s">
        <v>30</v>
      </c>
      <c r="Q102" s="7" t="s">
        <v>14</v>
      </c>
      <c r="R102" s="5">
        <f t="shared" si="1"/>
        <v>0</v>
      </c>
    </row>
    <row r="103" spans="1:18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6" t="b">
        <f>ISNUMBER(financials3[[#This Row],[Date]])</f>
        <v>1</v>
      </c>
      <c r="O103" s="8">
        <v>11</v>
      </c>
      <c r="P103" s="5" t="s">
        <v>31</v>
      </c>
      <c r="Q103" s="7" t="s">
        <v>14</v>
      </c>
      <c r="R103" s="5">
        <f t="shared" si="1"/>
        <v>0</v>
      </c>
    </row>
    <row r="104" spans="1:18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6" t="b">
        <f>ISNUMBER(financials3[[#This Row],[Date]])</f>
        <v>1</v>
      </c>
      <c r="O104" s="8">
        <v>12</v>
      </c>
      <c r="P104" s="5" t="s">
        <v>32</v>
      </c>
      <c r="Q104" s="7" t="s">
        <v>15</v>
      </c>
      <c r="R104" s="5">
        <f t="shared" si="1"/>
        <v>0</v>
      </c>
    </row>
    <row r="105" spans="1:18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6" t="b">
        <f>ISNUMBER(financials3[[#This Row],[Date]])</f>
        <v>1</v>
      </c>
      <c r="O105" s="8">
        <v>6</v>
      </c>
      <c r="P105" s="5" t="s">
        <v>26</v>
      </c>
      <c r="Q105" s="7" t="s">
        <v>15</v>
      </c>
      <c r="R105" s="5">
        <f t="shared" si="1"/>
        <v>0</v>
      </c>
    </row>
    <row r="106" spans="1:18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6" t="b">
        <f>ISNUMBER(financials3[[#This Row],[Date]])</f>
        <v>1</v>
      </c>
      <c r="O106" s="8">
        <v>10</v>
      </c>
      <c r="P106" s="5" t="s">
        <v>30</v>
      </c>
      <c r="Q106" s="7" t="s">
        <v>15</v>
      </c>
      <c r="R106" s="5">
        <f t="shared" si="1"/>
        <v>0</v>
      </c>
    </row>
    <row r="107" spans="1:18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6" t="b">
        <f>ISNUMBER(financials3[[#This Row],[Date]])</f>
        <v>1</v>
      </c>
      <c r="O107" s="8">
        <v>11</v>
      </c>
      <c r="P107" s="5" t="s">
        <v>31</v>
      </c>
      <c r="Q107" s="7" t="s">
        <v>15</v>
      </c>
      <c r="R107" s="5">
        <f t="shared" si="1"/>
        <v>0</v>
      </c>
    </row>
    <row r="108" spans="1:18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6" t="b">
        <f>ISNUMBER(financials3[[#This Row],[Date]])</f>
        <v>1</v>
      </c>
      <c r="O108" s="8">
        <v>11</v>
      </c>
      <c r="P108" s="5" t="s">
        <v>31</v>
      </c>
      <c r="Q108" s="7" t="s">
        <v>14</v>
      </c>
      <c r="R108" s="5">
        <f t="shared" si="1"/>
        <v>0</v>
      </c>
    </row>
    <row r="109" spans="1:18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6" t="b">
        <f>ISNUMBER(financials3[[#This Row],[Date]])</f>
        <v>1</v>
      </c>
      <c r="O109" s="8">
        <v>2</v>
      </c>
      <c r="P109" s="5" t="s">
        <v>22</v>
      </c>
      <c r="Q109" s="7" t="s">
        <v>15</v>
      </c>
      <c r="R109" s="5">
        <f t="shared" si="1"/>
        <v>0</v>
      </c>
    </row>
    <row r="110" spans="1:18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6" t="b">
        <f>ISNUMBER(financials3[[#This Row],[Date]])</f>
        <v>1</v>
      </c>
      <c r="O110" s="8">
        <v>5</v>
      </c>
      <c r="P110" s="5" t="s">
        <v>25</v>
      </c>
      <c r="Q110" s="7" t="s">
        <v>15</v>
      </c>
      <c r="R110" s="5">
        <f t="shared" si="1"/>
        <v>0</v>
      </c>
    </row>
    <row r="111" spans="1:18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6" t="b">
        <f>ISNUMBER(financials3[[#This Row],[Date]])</f>
        <v>1</v>
      </c>
      <c r="O111" s="8">
        <v>5</v>
      </c>
      <c r="P111" s="5" t="s">
        <v>25</v>
      </c>
      <c r="Q111" s="7" t="s">
        <v>15</v>
      </c>
      <c r="R111" s="5">
        <f t="shared" si="1"/>
        <v>0</v>
      </c>
    </row>
    <row r="112" spans="1:18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6" t="b">
        <f>ISNUMBER(financials3[[#This Row],[Date]])</f>
        <v>1</v>
      </c>
      <c r="O112" s="8">
        <v>6</v>
      </c>
      <c r="P112" s="5" t="s">
        <v>26</v>
      </c>
      <c r="Q112" s="7" t="s">
        <v>15</v>
      </c>
      <c r="R112" s="5">
        <f t="shared" si="1"/>
        <v>0</v>
      </c>
    </row>
    <row r="113" spans="1:18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6" t="b">
        <f>ISNUMBER(financials3[[#This Row],[Date]])</f>
        <v>1</v>
      </c>
      <c r="O113" s="8">
        <v>6</v>
      </c>
      <c r="P113" s="5" t="s">
        <v>26</v>
      </c>
      <c r="Q113" s="7" t="s">
        <v>15</v>
      </c>
      <c r="R113" s="5">
        <f t="shared" si="1"/>
        <v>0</v>
      </c>
    </row>
    <row r="114" spans="1:18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6" t="b">
        <f>ISNUMBER(financials3[[#This Row],[Date]])</f>
        <v>1</v>
      </c>
      <c r="O114" s="8">
        <v>10</v>
      </c>
      <c r="P114" s="5" t="s">
        <v>30</v>
      </c>
      <c r="Q114" s="7" t="s">
        <v>15</v>
      </c>
      <c r="R114" s="5">
        <f t="shared" si="1"/>
        <v>0</v>
      </c>
    </row>
    <row r="115" spans="1:18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6" t="b">
        <f>ISNUMBER(financials3[[#This Row],[Date]])</f>
        <v>1</v>
      </c>
      <c r="O115" s="8">
        <v>10</v>
      </c>
      <c r="P115" s="5" t="s">
        <v>30</v>
      </c>
      <c r="Q115" s="7" t="s">
        <v>14</v>
      </c>
      <c r="R115" s="5">
        <f t="shared" si="1"/>
        <v>0</v>
      </c>
    </row>
    <row r="116" spans="1:18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6" t="b">
        <f>ISNUMBER(financials3[[#This Row],[Date]])</f>
        <v>1</v>
      </c>
      <c r="O116" s="8">
        <v>10</v>
      </c>
      <c r="P116" s="5" t="s">
        <v>30</v>
      </c>
      <c r="Q116" s="7" t="s">
        <v>14</v>
      </c>
      <c r="R116" s="5">
        <f t="shared" si="1"/>
        <v>0</v>
      </c>
    </row>
    <row r="117" spans="1:18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6" t="b">
        <f>ISNUMBER(financials3[[#This Row],[Date]])</f>
        <v>1</v>
      </c>
      <c r="O117" s="8">
        <v>11</v>
      </c>
      <c r="P117" s="5" t="s">
        <v>31</v>
      </c>
      <c r="Q117" s="7" t="s">
        <v>14</v>
      </c>
      <c r="R117" s="5">
        <f t="shared" si="1"/>
        <v>0</v>
      </c>
    </row>
    <row r="118" spans="1:18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6" t="b">
        <f>ISNUMBER(financials3[[#This Row],[Date]])</f>
        <v>1</v>
      </c>
      <c r="O118" s="8">
        <v>12</v>
      </c>
      <c r="P118" s="5" t="s">
        <v>32</v>
      </c>
      <c r="Q118" s="7" t="s">
        <v>15</v>
      </c>
      <c r="R118" s="5">
        <f t="shared" si="1"/>
        <v>0</v>
      </c>
    </row>
    <row r="119" spans="1:18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6" t="b">
        <f>ISNUMBER(financials3[[#This Row],[Date]])</f>
        <v>1</v>
      </c>
      <c r="O119" s="8">
        <v>12</v>
      </c>
      <c r="P119" s="5" t="s">
        <v>32</v>
      </c>
      <c r="Q119" s="7" t="s">
        <v>15</v>
      </c>
      <c r="R119" s="5">
        <f t="shared" si="1"/>
        <v>0</v>
      </c>
    </row>
    <row r="120" spans="1:18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6" t="b">
        <f>ISNUMBER(financials3[[#This Row],[Date]])</f>
        <v>1</v>
      </c>
      <c r="O120" s="8">
        <v>12</v>
      </c>
      <c r="P120" s="5" t="s">
        <v>32</v>
      </c>
      <c r="Q120" s="7" t="s">
        <v>15</v>
      </c>
      <c r="R120" s="5">
        <f t="shared" si="1"/>
        <v>0</v>
      </c>
    </row>
    <row r="121" spans="1:18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6" t="b">
        <f>ISNUMBER(financials3[[#This Row],[Date]])</f>
        <v>1</v>
      </c>
      <c r="O121" s="8">
        <v>12</v>
      </c>
      <c r="P121" s="5" t="s">
        <v>32</v>
      </c>
      <c r="Q121" s="7" t="s">
        <v>14</v>
      </c>
      <c r="R121" s="5">
        <f t="shared" si="1"/>
        <v>0</v>
      </c>
    </row>
    <row r="122" spans="1:18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6" t="b">
        <f>ISNUMBER(financials3[[#This Row],[Date]])</f>
        <v>1</v>
      </c>
      <c r="O122" s="8">
        <v>12</v>
      </c>
      <c r="P122" s="5" t="s">
        <v>32</v>
      </c>
      <c r="Q122" s="7" t="s">
        <v>14</v>
      </c>
      <c r="R122" s="5">
        <f t="shared" si="1"/>
        <v>0</v>
      </c>
    </row>
    <row r="123" spans="1:18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6" t="b">
        <f>ISNUMBER(financials3[[#This Row],[Date]])</f>
        <v>1</v>
      </c>
      <c r="O123" s="8">
        <v>12</v>
      </c>
      <c r="P123" s="5" t="s">
        <v>32</v>
      </c>
      <c r="Q123" s="7" t="s">
        <v>15</v>
      </c>
      <c r="R123" s="5">
        <f t="shared" si="1"/>
        <v>0</v>
      </c>
    </row>
    <row r="124" spans="1:18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6" t="b">
        <f>ISNUMBER(financials3[[#This Row],[Date]])</f>
        <v>1</v>
      </c>
      <c r="O124" s="8">
        <v>12</v>
      </c>
      <c r="P124" s="5" t="s">
        <v>32</v>
      </c>
      <c r="Q124" s="7" t="s">
        <v>15</v>
      </c>
      <c r="R124" s="5">
        <f t="shared" si="1"/>
        <v>0</v>
      </c>
    </row>
    <row r="125" spans="1:18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6" t="b">
        <f>ISNUMBER(financials3[[#This Row],[Date]])</f>
        <v>1</v>
      </c>
      <c r="O125" s="8">
        <v>10</v>
      </c>
      <c r="P125" s="5" t="s">
        <v>30</v>
      </c>
      <c r="Q125" s="7" t="s">
        <v>15</v>
      </c>
      <c r="R125" s="5">
        <f t="shared" si="1"/>
        <v>0</v>
      </c>
    </row>
    <row r="126" spans="1:18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6" t="b">
        <f>ISNUMBER(financials3[[#This Row],[Date]])</f>
        <v>1</v>
      </c>
      <c r="O126" s="8">
        <v>10</v>
      </c>
      <c r="P126" s="5" t="s">
        <v>30</v>
      </c>
      <c r="Q126" s="7" t="s">
        <v>14</v>
      </c>
      <c r="R126" s="5">
        <f t="shared" si="1"/>
        <v>0</v>
      </c>
    </row>
    <row r="127" spans="1:18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6" t="b">
        <f>ISNUMBER(financials3[[#This Row],[Date]])</f>
        <v>1</v>
      </c>
      <c r="O127" s="8">
        <v>10</v>
      </c>
      <c r="P127" s="5" t="s">
        <v>30</v>
      </c>
      <c r="Q127" s="7" t="s">
        <v>15</v>
      </c>
      <c r="R127" s="5">
        <f t="shared" si="1"/>
        <v>0</v>
      </c>
    </row>
    <row r="128" spans="1:18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6" t="b">
        <f>ISNUMBER(financials3[[#This Row],[Date]])</f>
        <v>1</v>
      </c>
      <c r="O128" s="8">
        <v>10</v>
      </c>
      <c r="P128" s="5" t="s">
        <v>30</v>
      </c>
      <c r="Q128" s="7" t="s">
        <v>14</v>
      </c>
      <c r="R128" s="5">
        <f t="shared" si="1"/>
        <v>0</v>
      </c>
    </row>
    <row r="129" spans="1:18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6" t="b">
        <f>ISNUMBER(financials3[[#This Row],[Date]])</f>
        <v>1</v>
      </c>
      <c r="O129" s="8">
        <v>10</v>
      </c>
      <c r="P129" s="5" t="s">
        <v>30</v>
      </c>
      <c r="Q129" s="7" t="s">
        <v>14</v>
      </c>
      <c r="R129" s="5">
        <f t="shared" si="1"/>
        <v>0</v>
      </c>
    </row>
    <row r="130" spans="1:18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6" t="b">
        <f>ISNUMBER(financials3[[#This Row],[Date]])</f>
        <v>1</v>
      </c>
      <c r="O130" s="8">
        <v>12</v>
      </c>
      <c r="P130" s="5" t="s">
        <v>32</v>
      </c>
      <c r="Q130" s="7" t="s">
        <v>15</v>
      </c>
      <c r="R130" s="5">
        <f t="shared" ref="R130:R193" si="2">COUNTIFS(A:A,A130,B:B,B130,C:C,C130,D:D,D130,E:E,E130,F:F,F130,G:G,G130,H:H,H130,I:I,I130,J:J,J130,K:K,K130,L:L,L130,M:M,M130,N:N,O130,O:O,P130,P:P,Q130)</f>
        <v>0</v>
      </c>
    </row>
    <row r="131" spans="1:18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6" t="b">
        <f>ISNUMBER(financials3[[#This Row],[Date]])</f>
        <v>1</v>
      </c>
      <c r="O131" s="8">
        <v>12</v>
      </c>
      <c r="P131" s="5" t="s">
        <v>32</v>
      </c>
      <c r="Q131" s="7" t="s">
        <v>14</v>
      </c>
      <c r="R131" s="5">
        <f t="shared" si="2"/>
        <v>0</v>
      </c>
    </row>
    <row r="132" spans="1:18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6" t="b">
        <f>ISNUMBER(financials3[[#This Row],[Date]])</f>
        <v>1</v>
      </c>
      <c r="O132" s="8">
        <v>12</v>
      </c>
      <c r="P132" s="5" t="s">
        <v>32</v>
      </c>
      <c r="Q132" s="7" t="s">
        <v>15</v>
      </c>
      <c r="R132" s="5">
        <f t="shared" si="2"/>
        <v>0</v>
      </c>
    </row>
    <row r="133" spans="1:18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6" t="b">
        <f>ISNUMBER(financials3[[#This Row],[Date]])</f>
        <v>1</v>
      </c>
      <c r="O133" s="8">
        <v>6</v>
      </c>
      <c r="P133" s="5" t="s">
        <v>26</v>
      </c>
      <c r="Q133" s="7" t="s">
        <v>15</v>
      </c>
      <c r="R133" s="5">
        <f t="shared" si="2"/>
        <v>0</v>
      </c>
    </row>
    <row r="134" spans="1:18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6" t="b">
        <f>ISNUMBER(financials3[[#This Row],[Date]])</f>
        <v>1</v>
      </c>
      <c r="O134" s="8">
        <v>10</v>
      </c>
      <c r="P134" s="5" t="s">
        <v>30</v>
      </c>
      <c r="Q134" s="7" t="s">
        <v>14</v>
      </c>
      <c r="R134" s="5">
        <f t="shared" si="2"/>
        <v>0</v>
      </c>
    </row>
    <row r="135" spans="1:18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6" t="b">
        <f>ISNUMBER(financials3[[#This Row],[Date]])</f>
        <v>1</v>
      </c>
      <c r="O135" s="8">
        <v>10</v>
      </c>
      <c r="P135" s="5" t="s">
        <v>30</v>
      </c>
      <c r="Q135" s="7" t="s">
        <v>15</v>
      </c>
      <c r="R135" s="5">
        <f t="shared" si="2"/>
        <v>0</v>
      </c>
    </row>
    <row r="136" spans="1:18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6" t="b">
        <f>ISNUMBER(financials3[[#This Row],[Date]])</f>
        <v>1</v>
      </c>
      <c r="O136" s="8">
        <v>12</v>
      </c>
      <c r="P136" s="5" t="s">
        <v>32</v>
      </c>
      <c r="Q136" s="7" t="s">
        <v>15</v>
      </c>
      <c r="R136" s="5">
        <f t="shared" si="2"/>
        <v>0</v>
      </c>
    </row>
    <row r="137" spans="1:18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6" t="b">
        <f>ISNUMBER(financials3[[#This Row],[Date]])</f>
        <v>1</v>
      </c>
      <c r="O137" s="8">
        <v>12</v>
      </c>
      <c r="P137" s="5" t="s">
        <v>32</v>
      </c>
      <c r="Q137" s="7" t="s">
        <v>14</v>
      </c>
      <c r="R137" s="5">
        <f t="shared" si="2"/>
        <v>0</v>
      </c>
    </row>
    <row r="138" spans="1:18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6" t="b">
        <f>ISNUMBER(financials3[[#This Row],[Date]])</f>
        <v>1</v>
      </c>
      <c r="O138" s="8">
        <v>12</v>
      </c>
      <c r="P138" s="5" t="s">
        <v>32</v>
      </c>
      <c r="Q138" s="7" t="s">
        <v>14</v>
      </c>
      <c r="R138" s="5">
        <f t="shared" si="2"/>
        <v>0</v>
      </c>
    </row>
    <row r="139" spans="1:18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6" t="b">
        <f>ISNUMBER(financials3[[#This Row],[Date]])</f>
        <v>1</v>
      </c>
      <c r="O139" s="8">
        <v>3</v>
      </c>
      <c r="P139" s="5" t="s">
        <v>23</v>
      </c>
      <c r="Q139" s="7" t="s">
        <v>15</v>
      </c>
      <c r="R139" s="5">
        <f t="shared" si="2"/>
        <v>0</v>
      </c>
    </row>
    <row r="140" spans="1:18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6" t="b">
        <f>ISNUMBER(financials3[[#This Row],[Date]])</f>
        <v>1</v>
      </c>
      <c r="O140" s="8">
        <v>3</v>
      </c>
      <c r="P140" s="5" t="s">
        <v>23</v>
      </c>
      <c r="Q140" s="7" t="s">
        <v>15</v>
      </c>
      <c r="R140" s="5">
        <f t="shared" si="2"/>
        <v>0</v>
      </c>
    </row>
    <row r="141" spans="1:18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6" t="b">
        <f>ISNUMBER(financials3[[#This Row],[Date]])</f>
        <v>1</v>
      </c>
      <c r="O141" s="8">
        <v>5</v>
      </c>
      <c r="P141" s="5" t="s">
        <v>25</v>
      </c>
      <c r="Q141" s="7" t="s">
        <v>15</v>
      </c>
      <c r="R141" s="5">
        <f t="shared" si="2"/>
        <v>0</v>
      </c>
    </row>
    <row r="142" spans="1:18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6" t="b">
        <f>ISNUMBER(financials3[[#This Row],[Date]])</f>
        <v>1</v>
      </c>
      <c r="O142" s="8">
        <v>10</v>
      </c>
      <c r="P142" s="5" t="s">
        <v>30</v>
      </c>
      <c r="Q142" s="7" t="s">
        <v>14</v>
      </c>
      <c r="R142" s="5">
        <f t="shared" si="2"/>
        <v>0</v>
      </c>
    </row>
    <row r="143" spans="1:18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6" t="b">
        <f>ISNUMBER(financials3[[#This Row],[Date]])</f>
        <v>1</v>
      </c>
      <c r="O143" s="8">
        <v>11</v>
      </c>
      <c r="P143" s="5" t="s">
        <v>31</v>
      </c>
      <c r="Q143" s="7" t="s">
        <v>15</v>
      </c>
      <c r="R143" s="5">
        <f t="shared" si="2"/>
        <v>0</v>
      </c>
    </row>
    <row r="144" spans="1:18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6" t="b">
        <f>ISNUMBER(financials3[[#This Row],[Date]])</f>
        <v>1</v>
      </c>
      <c r="O144" s="8">
        <v>11</v>
      </c>
      <c r="P144" s="5" t="s">
        <v>31</v>
      </c>
      <c r="Q144" s="7" t="s">
        <v>15</v>
      </c>
      <c r="R144" s="5">
        <f t="shared" si="2"/>
        <v>0</v>
      </c>
    </row>
    <row r="145" spans="1:18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6" t="b">
        <f>ISNUMBER(financials3[[#This Row],[Date]])</f>
        <v>1</v>
      </c>
      <c r="O145" s="8">
        <v>12</v>
      </c>
      <c r="P145" s="5" t="s">
        <v>32</v>
      </c>
      <c r="Q145" s="7" t="s">
        <v>15</v>
      </c>
      <c r="R145" s="5">
        <f t="shared" si="2"/>
        <v>0</v>
      </c>
    </row>
    <row r="146" spans="1:18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6" t="b">
        <f>ISNUMBER(financials3[[#This Row],[Date]])</f>
        <v>1</v>
      </c>
      <c r="O146" s="8">
        <v>4</v>
      </c>
      <c r="P146" s="5" t="s">
        <v>24</v>
      </c>
      <c r="Q146" s="7" t="s">
        <v>15</v>
      </c>
      <c r="R146" s="5">
        <f t="shared" si="2"/>
        <v>0</v>
      </c>
    </row>
    <row r="147" spans="1:18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6" t="b">
        <f>ISNUMBER(financials3[[#This Row],[Date]])</f>
        <v>1</v>
      </c>
      <c r="O147" s="8">
        <v>4</v>
      </c>
      <c r="P147" s="5" t="s">
        <v>24</v>
      </c>
      <c r="Q147" s="7" t="s">
        <v>15</v>
      </c>
      <c r="R147" s="5">
        <f t="shared" si="2"/>
        <v>0</v>
      </c>
    </row>
    <row r="148" spans="1:18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6" t="b">
        <f>ISNUMBER(financials3[[#This Row],[Date]])</f>
        <v>1</v>
      </c>
      <c r="O148" s="8">
        <v>6</v>
      </c>
      <c r="P148" s="5" t="s">
        <v>26</v>
      </c>
      <c r="Q148" s="7" t="s">
        <v>15</v>
      </c>
      <c r="R148" s="5">
        <f t="shared" si="2"/>
        <v>0</v>
      </c>
    </row>
    <row r="149" spans="1:18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6" t="b">
        <f>ISNUMBER(financials3[[#This Row],[Date]])</f>
        <v>1</v>
      </c>
      <c r="O149" s="8">
        <v>9</v>
      </c>
      <c r="P149" s="5" t="s">
        <v>29</v>
      </c>
      <c r="Q149" s="7" t="s">
        <v>15</v>
      </c>
      <c r="R149" s="5">
        <f t="shared" si="2"/>
        <v>0</v>
      </c>
    </row>
    <row r="150" spans="1:18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6" t="b">
        <f>ISNUMBER(financials3[[#This Row],[Date]])</f>
        <v>1</v>
      </c>
      <c r="O150" s="8">
        <v>12</v>
      </c>
      <c r="P150" s="5" t="s">
        <v>32</v>
      </c>
      <c r="Q150" s="7" t="s">
        <v>14</v>
      </c>
      <c r="R150" s="5">
        <f t="shared" si="2"/>
        <v>0</v>
      </c>
    </row>
    <row r="151" spans="1:18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6" t="b">
        <f>ISNUMBER(financials3[[#This Row],[Date]])</f>
        <v>1</v>
      </c>
      <c r="O151" s="8">
        <v>2</v>
      </c>
      <c r="P151" s="5" t="s">
        <v>22</v>
      </c>
      <c r="Q151" s="7" t="s">
        <v>15</v>
      </c>
      <c r="R151" s="5">
        <f t="shared" si="2"/>
        <v>0</v>
      </c>
    </row>
    <row r="152" spans="1:18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6" t="b">
        <f>ISNUMBER(financials3[[#This Row],[Date]])</f>
        <v>1</v>
      </c>
      <c r="O152" s="8">
        <v>6</v>
      </c>
      <c r="P152" s="5" t="s">
        <v>26</v>
      </c>
      <c r="Q152" s="7" t="s">
        <v>15</v>
      </c>
      <c r="R152" s="5">
        <f t="shared" si="2"/>
        <v>0</v>
      </c>
    </row>
    <row r="153" spans="1:18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6" t="b">
        <f>ISNUMBER(financials3[[#This Row],[Date]])</f>
        <v>1</v>
      </c>
      <c r="O153" s="8">
        <v>9</v>
      </c>
      <c r="P153" s="5" t="s">
        <v>29</v>
      </c>
      <c r="Q153" s="7" t="s">
        <v>15</v>
      </c>
      <c r="R153" s="5">
        <f t="shared" si="2"/>
        <v>0</v>
      </c>
    </row>
    <row r="154" spans="1:18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6" t="b">
        <f>ISNUMBER(financials3[[#This Row],[Date]])</f>
        <v>1</v>
      </c>
      <c r="O154" s="8">
        <v>9</v>
      </c>
      <c r="P154" s="5" t="s">
        <v>29</v>
      </c>
      <c r="Q154" s="7" t="s">
        <v>14</v>
      </c>
      <c r="R154" s="5">
        <f t="shared" si="2"/>
        <v>0</v>
      </c>
    </row>
    <row r="155" spans="1:18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6" t="b">
        <f>ISNUMBER(financials3[[#This Row],[Date]])</f>
        <v>1</v>
      </c>
      <c r="O155" s="8">
        <v>12</v>
      </c>
      <c r="P155" s="5" t="s">
        <v>32</v>
      </c>
      <c r="Q155" s="7" t="s">
        <v>15</v>
      </c>
      <c r="R155" s="5">
        <f t="shared" si="2"/>
        <v>0</v>
      </c>
    </row>
    <row r="156" spans="1:18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6" t="b">
        <f>ISNUMBER(financials3[[#This Row],[Date]])</f>
        <v>1</v>
      </c>
      <c r="O156" s="8">
        <v>12</v>
      </c>
      <c r="P156" s="5" t="s">
        <v>32</v>
      </c>
      <c r="Q156" s="7" t="s">
        <v>15</v>
      </c>
      <c r="R156" s="5">
        <f t="shared" si="2"/>
        <v>0</v>
      </c>
    </row>
    <row r="157" spans="1:18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6" t="b">
        <f>ISNUMBER(financials3[[#This Row],[Date]])</f>
        <v>1</v>
      </c>
      <c r="O157" s="8">
        <v>1</v>
      </c>
      <c r="P157" s="5" t="s">
        <v>21</v>
      </c>
      <c r="Q157" s="7" t="s">
        <v>15</v>
      </c>
      <c r="R157" s="5">
        <f t="shared" si="2"/>
        <v>0</v>
      </c>
    </row>
    <row r="158" spans="1:18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6" t="b">
        <f>ISNUMBER(financials3[[#This Row],[Date]])</f>
        <v>1</v>
      </c>
      <c r="O158" s="8">
        <v>3</v>
      </c>
      <c r="P158" s="5" t="s">
        <v>23</v>
      </c>
      <c r="Q158" s="7" t="s">
        <v>15</v>
      </c>
      <c r="R158" s="5">
        <f t="shared" si="2"/>
        <v>0</v>
      </c>
    </row>
    <row r="159" spans="1:18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6" t="b">
        <f>ISNUMBER(financials3[[#This Row],[Date]])</f>
        <v>1</v>
      </c>
      <c r="O159" s="8">
        <v>6</v>
      </c>
      <c r="P159" s="5" t="s">
        <v>26</v>
      </c>
      <c r="Q159" s="7" t="s">
        <v>15</v>
      </c>
      <c r="R159" s="5">
        <f t="shared" si="2"/>
        <v>0</v>
      </c>
    </row>
    <row r="160" spans="1:18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6" t="b">
        <f>ISNUMBER(financials3[[#This Row],[Date]])</f>
        <v>1</v>
      </c>
      <c r="O160" s="8">
        <v>6</v>
      </c>
      <c r="P160" s="5" t="s">
        <v>26</v>
      </c>
      <c r="Q160" s="7" t="s">
        <v>15</v>
      </c>
      <c r="R160" s="5">
        <f t="shared" si="2"/>
        <v>0</v>
      </c>
    </row>
    <row r="161" spans="1:18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6" t="b">
        <f>ISNUMBER(financials3[[#This Row],[Date]])</f>
        <v>1</v>
      </c>
      <c r="O161" s="8">
        <v>6</v>
      </c>
      <c r="P161" s="5" t="s">
        <v>26</v>
      </c>
      <c r="Q161" s="7" t="s">
        <v>15</v>
      </c>
      <c r="R161" s="5">
        <f t="shared" si="2"/>
        <v>0</v>
      </c>
    </row>
    <row r="162" spans="1:18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6" t="b">
        <f>ISNUMBER(financials3[[#This Row],[Date]])</f>
        <v>1</v>
      </c>
      <c r="O162" s="8">
        <v>7</v>
      </c>
      <c r="P162" s="5" t="s">
        <v>27</v>
      </c>
      <c r="Q162" s="7" t="s">
        <v>15</v>
      </c>
      <c r="R162" s="5">
        <f t="shared" si="2"/>
        <v>0</v>
      </c>
    </row>
    <row r="163" spans="1:18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6" t="b">
        <f>ISNUMBER(financials3[[#This Row],[Date]])</f>
        <v>1</v>
      </c>
      <c r="O163" s="8">
        <v>10</v>
      </c>
      <c r="P163" s="5" t="s">
        <v>30</v>
      </c>
      <c r="Q163" s="7" t="s">
        <v>15</v>
      </c>
      <c r="R163" s="5">
        <f t="shared" si="2"/>
        <v>0</v>
      </c>
    </row>
    <row r="164" spans="1:18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6" t="b">
        <f>ISNUMBER(financials3[[#This Row],[Date]])</f>
        <v>1</v>
      </c>
      <c r="O164" s="8">
        <v>10</v>
      </c>
      <c r="P164" s="5" t="s">
        <v>30</v>
      </c>
      <c r="Q164" s="7" t="s">
        <v>14</v>
      </c>
      <c r="R164" s="5">
        <f t="shared" si="2"/>
        <v>0</v>
      </c>
    </row>
    <row r="165" spans="1:18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6" t="b">
        <f>ISNUMBER(financials3[[#This Row],[Date]])</f>
        <v>1</v>
      </c>
      <c r="O165" s="8">
        <v>12</v>
      </c>
      <c r="P165" s="5" t="s">
        <v>32</v>
      </c>
      <c r="Q165" s="7" t="s">
        <v>15</v>
      </c>
      <c r="R165" s="5">
        <f t="shared" si="2"/>
        <v>0</v>
      </c>
    </row>
    <row r="166" spans="1:18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6" t="b">
        <f>ISNUMBER(financials3[[#This Row],[Date]])</f>
        <v>1</v>
      </c>
      <c r="O166" s="8">
        <v>12</v>
      </c>
      <c r="P166" s="5" t="s">
        <v>32</v>
      </c>
      <c r="Q166" s="7" t="s">
        <v>15</v>
      </c>
      <c r="R166" s="5">
        <f t="shared" si="2"/>
        <v>0</v>
      </c>
    </row>
    <row r="167" spans="1:18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6" t="b">
        <f>ISNUMBER(financials3[[#This Row],[Date]])</f>
        <v>1</v>
      </c>
      <c r="O167" s="8">
        <v>10</v>
      </c>
      <c r="P167" s="5" t="s">
        <v>30</v>
      </c>
      <c r="Q167" s="7" t="s">
        <v>15</v>
      </c>
      <c r="R167" s="5">
        <f t="shared" si="2"/>
        <v>0</v>
      </c>
    </row>
    <row r="168" spans="1:18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6" t="b">
        <f>ISNUMBER(financials3[[#This Row],[Date]])</f>
        <v>1</v>
      </c>
      <c r="O168" s="8">
        <v>2</v>
      </c>
      <c r="P168" s="5" t="s">
        <v>22</v>
      </c>
      <c r="Q168" s="7" t="s">
        <v>15</v>
      </c>
      <c r="R168" s="5">
        <f t="shared" si="2"/>
        <v>0</v>
      </c>
    </row>
    <row r="169" spans="1:18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6" t="b">
        <f>ISNUMBER(financials3[[#This Row],[Date]])</f>
        <v>1</v>
      </c>
      <c r="O169" s="8">
        <v>4</v>
      </c>
      <c r="P169" s="5" t="s">
        <v>24</v>
      </c>
      <c r="Q169" s="7" t="s">
        <v>15</v>
      </c>
      <c r="R169" s="5">
        <f t="shared" si="2"/>
        <v>0</v>
      </c>
    </row>
    <row r="170" spans="1:18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6" t="b">
        <f>ISNUMBER(financials3[[#This Row],[Date]])</f>
        <v>1</v>
      </c>
      <c r="O170" s="8">
        <v>6</v>
      </c>
      <c r="P170" s="5" t="s">
        <v>26</v>
      </c>
      <c r="Q170" s="7" t="s">
        <v>15</v>
      </c>
      <c r="R170" s="5">
        <f t="shared" si="2"/>
        <v>0</v>
      </c>
    </row>
    <row r="171" spans="1:18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6" t="b">
        <f>ISNUMBER(financials3[[#This Row],[Date]])</f>
        <v>1</v>
      </c>
      <c r="O171" s="8">
        <v>8</v>
      </c>
      <c r="P171" s="5" t="s">
        <v>28</v>
      </c>
      <c r="Q171" s="7" t="s">
        <v>15</v>
      </c>
      <c r="R171" s="5">
        <f t="shared" si="2"/>
        <v>0</v>
      </c>
    </row>
    <row r="172" spans="1:18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6" t="b">
        <f>ISNUMBER(financials3[[#This Row],[Date]])</f>
        <v>1</v>
      </c>
      <c r="O172" s="8">
        <v>8</v>
      </c>
      <c r="P172" s="5" t="s">
        <v>28</v>
      </c>
      <c r="Q172" s="7" t="s">
        <v>15</v>
      </c>
      <c r="R172" s="5">
        <f t="shared" si="2"/>
        <v>0</v>
      </c>
    </row>
    <row r="173" spans="1:18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6" t="b">
        <f>ISNUMBER(financials3[[#This Row],[Date]])</f>
        <v>1</v>
      </c>
      <c r="O173" s="8">
        <v>10</v>
      </c>
      <c r="P173" s="5" t="s">
        <v>30</v>
      </c>
      <c r="Q173" s="7" t="s">
        <v>14</v>
      </c>
      <c r="R173" s="5">
        <f t="shared" si="2"/>
        <v>0</v>
      </c>
    </row>
    <row r="174" spans="1:18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6" t="b">
        <f>ISNUMBER(financials3[[#This Row],[Date]])</f>
        <v>1</v>
      </c>
      <c r="O174" s="8">
        <v>5</v>
      </c>
      <c r="P174" s="5" t="s">
        <v>25</v>
      </c>
      <c r="Q174" s="7" t="s">
        <v>15</v>
      </c>
      <c r="R174" s="5">
        <f t="shared" si="2"/>
        <v>0</v>
      </c>
    </row>
    <row r="175" spans="1:18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6" t="b">
        <f>ISNUMBER(financials3[[#This Row],[Date]])</f>
        <v>1</v>
      </c>
      <c r="O175" s="8">
        <v>9</v>
      </c>
      <c r="P175" s="5" t="s">
        <v>29</v>
      </c>
      <c r="Q175" s="7" t="s">
        <v>14</v>
      </c>
      <c r="R175" s="5">
        <f t="shared" si="2"/>
        <v>0</v>
      </c>
    </row>
    <row r="176" spans="1:18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6" t="b">
        <f>ISNUMBER(financials3[[#This Row],[Date]])</f>
        <v>1</v>
      </c>
      <c r="O176" s="8">
        <v>4</v>
      </c>
      <c r="P176" s="5" t="s">
        <v>24</v>
      </c>
      <c r="Q176" s="7" t="s">
        <v>15</v>
      </c>
      <c r="R176" s="5">
        <f t="shared" si="2"/>
        <v>0</v>
      </c>
    </row>
    <row r="177" spans="1:18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6" t="b">
        <f>ISNUMBER(financials3[[#This Row],[Date]])</f>
        <v>1</v>
      </c>
      <c r="O177" s="8">
        <v>1</v>
      </c>
      <c r="P177" s="5" t="s">
        <v>21</v>
      </c>
      <c r="Q177" s="7" t="s">
        <v>15</v>
      </c>
      <c r="R177" s="5">
        <f t="shared" si="2"/>
        <v>0</v>
      </c>
    </row>
    <row r="178" spans="1:18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6" t="b">
        <f>ISNUMBER(financials3[[#This Row],[Date]])</f>
        <v>1</v>
      </c>
      <c r="O178" s="8">
        <v>10</v>
      </c>
      <c r="P178" s="5" t="s">
        <v>30</v>
      </c>
      <c r="Q178" s="7" t="s">
        <v>15</v>
      </c>
      <c r="R178" s="5">
        <f t="shared" si="2"/>
        <v>0</v>
      </c>
    </row>
    <row r="179" spans="1:18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6" t="b">
        <f>ISNUMBER(financials3[[#This Row],[Date]])</f>
        <v>1</v>
      </c>
      <c r="O179" s="8">
        <v>10</v>
      </c>
      <c r="P179" s="5" t="s">
        <v>30</v>
      </c>
      <c r="Q179" s="7" t="s">
        <v>15</v>
      </c>
      <c r="R179" s="5">
        <f t="shared" si="2"/>
        <v>0</v>
      </c>
    </row>
    <row r="180" spans="1:18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6" t="b">
        <f>ISNUMBER(financials3[[#This Row],[Date]])</f>
        <v>1</v>
      </c>
      <c r="O180" s="8">
        <v>12</v>
      </c>
      <c r="P180" s="5" t="s">
        <v>32</v>
      </c>
      <c r="Q180" s="7" t="s">
        <v>14</v>
      </c>
      <c r="R180" s="5">
        <f t="shared" si="2"/>
        <v>0</v>
      </c>
    </row>
    <row r="181" spans="1:18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6" t="b">
        <f>ISNUMBER(financials3[[#This Row],[Date]])</f>
        <v>1</v>
      </c>
      <c r="O181" s="8">
        <v>9</v>
      </c>
      <c r="P181" s="5" t="s">
        <v>29</v>
      </c>
      <c r="Q181" s="7" t="s">
        <v>14</v>
      </c>
      <c r="R181" s="5">
        <f t="shared" si="2"/>
        <v>0</v>
      </c>
    </row>
    <row r="182" spans="1:18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6" t="b">
        <f>ISNUMBER(financials3[[#This Row],[Date]])</f>
        <v>1</v>
      </c>
      <c r="O182" s="8">
        <v>10</v>
      </c>
      <c r="P182" s="5" t="s">
        <v>30</v>
      </c>
      <c r="Q182" s="7" t="s">
        <v>14</v>
      </c>
      <c r="R182" s="5">
        <f t="shared" si="2"/>
        <v>0</v>
      </c>
    </row>
    <row r="183" spans="1:18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6" t="b">
        <f>ISNUMBER(financials3[[#This Row],[Date]])</f>
        <v>1</v>
      </c>
      <c r="O183" s="8">
        <v>10</v>
      </c>
      <c r="P183" s="5" t="s">
        <v>30</v>
      </c>
      <c r="Q183" s="7" t="s">
        <v>15</v>
      </c>
      <c r="R183" s="5">
        <f t="shared" si="2"/>
        <v>0</v>
      </c>
    </row>
    <row r="184" spans="1:18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6" t="b">
        <f>ISNUMBER(financials3[[#This Row],[Date]])</f>
        <v>1</v>
      </c>
      <c r="O184" s="8">
        <v>12</v>
      </c>
      <c r="P184" s="5" t="s">
        <v>32</v>
      </c>
      <c r="Q184" s="7" t="s">
        <v>15</v>
      </c>
      <c r="R184" s="5">
        <f t="shared" si="2"/>
        <v>0</v>
      </c>
    </row>
    <row r="185" spans="1:18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6" t="b">
        <f>ISNUMBER(financials3[[#This Row],[Date]])</f>
        <v>1</v>
      </c>
      <c r="O185" s="8">
        <v>3</v>
      </c>
      <c r="P185" s="5" t="s">
        <v>23</v>
      </c>
      <c r="Q185" s="7" t="s">
        <v>15</v>
      </c>
      <c r="R185" s="5">
        <f t="shared" si="2"/>
        <v>0</v>
      </c>
    </row>
    <row r="186" spans="1:18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6" t="b">
        <f>ISNUMBER(financials3[[#This Row],[Date]])</f>
        <v>1</v>
      </c>
      <c r="O186" s="8">
        <v>8</v>
      </c>
      <c r="P186" s="5" t="s">
        <v>28</v>
      </c>
      <c r="Q186" s="7" t="s">
        <v>15</v>
      </c>
      <c r="R186" s="5">
        <f t="shared" si="2"/>
        <v>0</v>
      </c>
    </row>
    <row r="187" spans="1:18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6" t="b">
        <f>ISNUMBER(financials3[[#This Row],[Date]])</f>
        <v>1</v>
      </c>
      <c r="O187" s="8">
        <v>10</v>
      </c>
      <c r="P187" s="5" t="s">
        <v>30</v>
      </c>
      <c r="Q187" s="7" t="s">
        <v>14</v>
      </c>
      <c r="R187" s="5">
        <f t="shared" si="2"/>
        <v>0</v>
      </c>
    </row>
    <row r="188" spans="1:18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6" t="b">
        <f>ISNUMBER(financials3[[#This Row],[Date]])</f>
        <v>1</v>
      </c>
      <c r="O188" s="8">
        <v>10</v>
      </c>
      <c r="P188" s="5" t="s">
        <v>30</v>
      </c>
      <c r="Q188" s="7" t="s">
        <v>15</v>
      </c>
      <c r="R188" s="5">
        <f t="shared" si="2"/>
        <v>0</v>
      </c>
    </row>
    <row r="189" spans="1:18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6" t="b">
        <f>ISNUMBER(financials3[[#This Row],[Date]])</f>
        <v>1</v>
      </c>
      <c r="O189" s="8">
        <v>12</v>
      </c>
      <c r="P189" s="5" t="s">
        <v>32</v>
      </c>
      <c r="Q189" s="7" t="s">
        <v>15</v>
      </c>
      <c r="R189" s="5">
        <f t="shared" si="2"/>
        <v>0</v>
      </c>
    </row>
    <row r="190" spans="1:18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6" t="b">
        <f>ISNUMBER(financials3[[#This Row],[Date]])</f>
        <v>1</v>
      </c>
      <c r="O190" s="8">
        <v>1</v>
      </c>
      <c r="P190" s="5" t="s">
        <v>21</v>
      </c>
      <c r="Q190" s="7" t="s">
        <v>15</v>
      </c>
      <c r="R190" s="5">
        <f t="shared" si="2"/>
        <v>0</v>
      </c>
    </row>
    <row r="191" spans="1:18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6" t="b">
        <f>ISNUMBER(financials3[[#This Row],[Date]])</f>
        <v>1</v>
      </c>
      <c r="O191" s="8">
        <v>3</v>
      </c>
      <c r="P191" s="5" t="s">
        <v>23</v>
      </c>
      <c r="Q191" s="7" t="s">
        <v>15</v>
      </c>
      <c r="R191" s="5">
        <f t="shared" si="2"/>
        <v>0</v>
      </c>
    </row>
    <row r="192" spans="1:18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6" t="b">
        <f>ISNUMBER(financials3[[#This Row],[Date]])</f>
        <v>1</v>
      </c>
      <c r="O192" s="8">
        <v>4</v>
      </c>
      <c r="P192" s="5" t="s">
        <v>24</v>
      </c>
      <c r="Q192" s="7" t="s">
        <v>15</v>
      </c>
      <c r="R192" s="5">
        <f t="shared" si="2"/>
        <v>0</v>
      </c>
    </row>
    <row r="193" spans="1:18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6" t="b">
        <f>ISNUMBER(financials3[[#This Row],[Date]])</f>
        <v>1</v>
      </c>
      <c r="O193" s="8">
        <v>5</v>
      </c>
      <c r="P193" s="5" t="s">
        <v>25</v>
      </c>
      <c r="Q193" s="7" t="s">
        <v>15</v>
      </c>
      <c r="R193" s="5">
        <f t="shared" si="2"/>
        <v>0</v>
      </c>
    </row>
    <row r="194" spans="1:18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6" t="b">
        <f>ISNUMBER(financials3[[#This Row],[Date]])</f>
        <v>1</v>
      </c>
      <c r="O194" s="8">
        <v>7</v>
      </c>
      <c r="P194" s="5" t="s">
        <v>27</v>
      </c>
      <c r="Q194" s="7" t="s">
        <v>15</v>
      </c>
      <c r="R194" s="5">
        <f t="shared" ref="R194:R257" si="3">COUNTIFS(A:A,A194,B:B,B194,C:C,C194,D:D,D194,E:E,E194,F:F,F194,G:G,G194,H:H,H194,I:I,I194,J:J,J194,K:K,K194,L:L,L194,M:M,M194,N:N,O194,O:O,P194,P:P,Q194)</f>
        <v>0</v>
      </c>
    </row>
    <row r="195" spans="1:18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6" t="b">
        <f>ISNUMBER(financials3[[#This Row],[Date]])</f>
        <v>1</v>
      </c>
      <c r="O195" s="8">
        <v>7</v>
      </c>
      <c r="P195" s="5" t="s">
        <v>27</v>
      </c>
      <c r="Q195" s="7" t="s">
        <v>15</v>
      </c>
      <c r="R195" s="5">
        <f t="shared" si="3"/>
        <v>0</v>
      </c>
    </row>
    <row r="196" spans="1:18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6" t="b">
        <f>ISNUMBER(financials3[[#This Row],[Date]])</f>
        <v>1</v>
      </c>
      <c r="O196" s="8">
        <v>9</v>
      </c>
      <c r="P196" s="5" t="s">
        <v>29</v>
      </c>
      <c r="Q196" s="7" t="s">
        <v>15</v>
      </c>
      <c r="R196" s="5">
        <f t="shared" si="3"/>
        <v>0</v>
      </c>
    </row>
    <row r="197" spans="1:18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6" t="b">
        <f>ISNUMBER(financials3[[#This Row],[Date]])</f>
        <v>1</v>
      </c>
      <c r="O197" s="8">
        <v>9</v>
      </c>
      <c r="P197" s="5" t="s">
        <v>29</v>
      </c>
      <c r="Q197" s="7" t="s">
        <v>15</v>
      </c>
      <c r="R197" s="5">
        <f t="shared" si="3"/>
        <v>0</v>
      </c>
    </row>
    <row r="198" spans="1:18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6" t="b">
        <f>ISNUMBER(financials3[[#This Row],[Date]])</f>
        <v>1</v>
      </c>
      <c r="O198" s="8">
        <v>9</v>
      </c>
      <c r="P198" s="5" t="s">
        <v>29</v>
      </c>
      <c r="Q198" s="7" t="s">
        <v>15</v>
      </c>
      <c r="R198" s="5">
        <f t="shared" si="3"/>
        <v>0</v>
      </c>
    </row>
    <row r="199" spans="1:18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6" t="b">
        <f>ISNUMBER(financials3[[#This Row],[Date]])</f>
        <v>1</v>
      </c>
      <c r="O199" s="8">
        <v>10</v>
      </c>
      <c r="P199" s="5" t="s">
        <v>30</v>
      </c>
      <c r="Q199" s="7" t="s">
        <v>14</v>
      </c>
      <c r="R199" s="5">
        <f t="shared" si="3"/>
        <v>0</v>
      </c>
    </row>
    <row r="200" spans="1:18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6" t="b">
        <f>ISNUMBER(financials3[[#This Row],[Date]])</f>
        <v>1</v>
      </c>
      <c r="O200" s="8">
        <v>10</v>
      </c>
      <c r="P200" s="5" t="s">
        <v>30</v>
      </c>
      <c r="Q200" s="7" t="s">
        <v>14</v>
      </c>
      <c r="R200" s="5">
        <f t="shared" si="3"/>
        <v>0</v>
      </c>
    </row>
    <row r="201" spans="1:18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6" t="b">
        <f>ISNUMBER(financials3[[#This Row],[Date]])</f>
        <v>1</v>
      </c>
      <c r="O201" s="8">
        <v>12</v>
      </c>
      <c r="P201" s="5" t="s">
        <v>32</v>
      </c>
      <c r="Q201" s="7" t="s">
        <v>15</v>
      </c>
      <c r="R201" s="5">
        <f t="shared" si="3"/>
        <v>0</v>
      </c>
    </row>
    <row r="202" spans="1:18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6" t="b">
        <f>ISNUMBER(financials3[[#This Row],[Date]])</f>
        <v>1</v>
      </c>
      <c r="O202" s="8">
        <v>12</v>
      </c>
      <c r="P202" s="5" t="s">
        <v>32</v>
      </c>
      <c r="Q202" s="7" t="s">
        <v>15</v>
      </c>
      <c r="R202" s="5">
        <f t="shared" si="3"/>
        <v>0</v>
      </c>
    </row>
    <row r="203" spans="1:18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6" t="b">
        <f>ISNUMBER(financials3[[#This Row],[Date]])</f>
        <v>1</v>
      </c>
      <c r="O203" s="8">
        <v>3</v>
      </c>
      <c r="P203" s="5" t="s">
        <v>23</v>
      </c>
      <c r="Q203" s="7" t="s">
        <v>15</v>
      </c>
      <c r="R203" s="5">
        <f t="shared" si="3"/>
        <v>0</v>
      </c>
    </row>
    <row r="204" spans="1:18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6" t="b">
        <f>ISNUMBER(financials3[[#This Row],[Date]])</f>
        <v>1</v>
      </c>
      <c r="O204" s="8">
        <v>9</v>
      </c>
      <c r="P204" s="5" t="s">
        <v>29</v>
      </c>
      <c r="Q204" s="7" t="s">
        <v>14</v>
      </c>
      <c r="R204" s="5">
        <f t="shared" si="3"/>
        <v>0</v>
      </c>
    </row>
    <row r="205" spans="1:18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6" t="b">
        <f>ISNUMBER(financials3[[#This Row],[Date]])</f>
        <v>1</v>
      </c>
      <c r="O205" s="8">
        <v>10</v>
      </c>
      <c r="P205" s="5" t="s">
        <v>30</v>
      </c>
      <c r="Q205" s="7" t="s">
        <v>15</v>
      </c>
      <c r="R205" s="5">
        <f t="shared" si="3"/>
        <v>0</v>
      </c>
    </row>
    <row r="206" spans="1:18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6" t="b">
        <f>ISNUMBER(financials3[[#This Row],[Date]])</f>
        <v>1</v>
      </c>
      <c r="O206" s="8">
        <v>5</v>
      </c>
      <c r="P206" s="5" t="s">
        <v>25</v>
      </c>
      <c r="Q206" s="7" t="s">
        <v>15</v>
      </c>
      <c r="R206" s="5">
        <f t="shared" si="3"/>
        <v>0</v>
      </c>
    </row>
    <row r="207" spans="1:18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6" t="b">
        <f>ISNUMBER(financials3[[#This Row],[Date]])</f>
        <v>1</v>
      </c>
      <c r="O207" s="8">
        <v>9</v>
      </c>
      <c r="P207" s="5" t="s">
        <v>29</v>
      </c>
      <c r="Q207" s="7" t="s">
        <v>14</v>
      </c>
      <c r="R207" s="5">
        <f t="shared" si="3"/>
        <v>0</v>
      </c>
    </row>
    <row r="208" spans="1:18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6" t="b">
        <f>ISNUMBER(financials3[[#This Row],[Date]])</f>
        <v>1</v>
      </c>
      <c r="O208" s="8">
        <v>10</v>
      </c>
      <c r="P208" s="5" t="s">
        <v>30</v>
      </c>
      <c r="Q208" s="7" t="s">
        <v>15</v>
      </c>
      <c r="R208" s="5">
        <f t="shared" si="3"/>
        <v>0</v>
      </c>
    </row>
    <row r="209" spans="1:18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6" t="b">
        <f>ISNUMBER(financials3[[#This Row],[Date]])</f>
        <v>1</v>
      </c>
      <c r="O209" s="8">
        <v>10</v>
      </c>
      <c r="P209" s="5" t="s">
        <v>30</v>
      </c>
      <c r="Q209" s="7" t="s">
        <v>14</v>
      </c>
      <c r="R209" s="5">
        <f t="shared" si="3"/>
        <v>0</v>
      </c>
    </row>
    <row r="210" spans="1:18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6" t="b">
        <f>ISNUMBER(financials3[[#This Row],[Date]])</f>
        <v>1</v>
      </c>
      <c r="O210" s="8">
        <v>2</v>
      </c>
      <c r="P210" s="5" t="s">
        <v>22</v>
      </c>
      <c r="Q210" s="7" t="s">
        <v>15</v>
      </c>
      <c r="R210" s="5">
        <f t="shared" si="3"/>
        <v>0</v>
      </c>
    </row>
    <row r="211" spans="1:18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6" t="b">
        <f>ISNUMBER(financials3[[#This Row],[Date]])</f>
        <v>1</v>
      </c>
      <c r="O211" s="8">
        <v>4</v>
      </c>
      <c r="P211" s="5" t="s">
        <v>24</v>
      </c>
      <c r="Q211" s="7" t="s">
        <v>15</v>
      </c>
      <c r="R211" s="5">
        <f t="shared" si="3"/>
        <v>0</v>
      </c>
    </row>
    <row r="212" spans="1:18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6" t="b">
        <f>ISNUMBER(financials3[[#This Row],[Date]])</f>
        <v>1</v>
      </c>
      <c r="O212" s="8">
        <v>9</v>
      </c>
      <c r="P212" s="5" t="s">
        <v>29</v>
      </c>
      <c r="Q212" s="7" t="s">
        <v>15</v>
      </c>
      <c r="R212" s="5">
        <f t="shared" si="3"/>
        <v>0</v>
      </c>
    </row>
    <row r="213" spans="1:18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6" t="b">
        <f>ISNUMBER(financials3[[#This Row],[Date]])</f>
        <v>1</v>
      </c>
      <c r="O213" s="8">
        <v>10</v>
      </c>
      <c r="P213" s="5" t="s">
        <v>30</v>
      </c>
      <c r="Q213" s="7" t="s">
        <v>14</v>
      </c>
      <c r="R213" s="5">
        <f t="shared" si="3"/>
        <v>0</v>
      </c>
    </row>
    <row r="214" spans="1:18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6" t="b">
        <f>ISNUMBER(financials3[[#This Row],[Date]])</f>
        <v>1</v>
      </c>
      <c r="O214" s="8">
        <v>12</v>
      </c>
      <c r="P214" s="5" t="s">
        <v>32</v>
      </c>
      <c r="Q214" s="7" t="s">
        <v>14</v>
      </c>
      <c r="R214" s="5">
        <f t="shared" si="3"/>
        <v>0</v>
      </c>
    </row>
    <row r="215" spans="1:18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6" t="b">
        <f>ISNUMBER(financials3[[#This Row],[Date]])</f>
        <v>1</v>
      </c>
      <c r="O215" s="8">
        <v>10</v>
      </c>
      <c r="P215" s="5" t="s">
        <v>30</v>
      </c>
      <c r="Q215" s="7" t="s">
        <v>14</v>
      </c>
      <c r="R215" s="5">
        <f t="shared" si="3"/>
        <v>0</v>
      </c>
    </row>
    <row r="216" spans="1:18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6" t="b">
        <f>ISNUMBER(financials3[[#This Row],[Date]])</f>
        <v>1</v>
      </c>
      <c r="O216" s="8">
        <v>1</v>
      </c>
      <c r="P216" s="5" t="s">
        <v>21</v>
      </c>
      <c r="Q216" s="7" t="s">
        <v>15</v>
      </c>
      <c r="R216" s="5">
        <f t="shared" si="3"/>
        <v>0</v>
      </c>
    </row>
    <row r="217" spans="1:18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6" t="b">
        <f>ISNUMBER(financials3[[#This Row],[Date]])</f>
        <v>1</v>
      </c>
      <c r="O217" s="8">
        <v>9</v>
      </c>
      <c r="P217" s="5" t="s">
        <v>29</v>
      </c>
      <c r="Q217" s="7" t="s">
        <v>14</v>
      </c>
      <c r="R217" s="5">
        <f t="shared" si="3"/>
        <v>0</v>
      </c>
    </row>
    <row r="218" spans="1:18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6" t="b">
        <f>ISNUMBER(financials3[[#This Row],[Date]])</f>
        <v>1</v>
      </c>
      <c r="O218" s="8">
        <v>10</v>
      </c>
      <c r="P218" s="5" t="s">
        <v>30</v>
      </c>
      <c r="Q218" s="7" t="s">
        <v>15</v>
      </c>
      <c r="R218" s="5">
        <f t="shared" si="3"/>
        <v>0</v>
      </c>
    </row>
    <row r="219" spans="1:18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6" t="b">
        <f>ISNUMBER(financials3[[#This Row],[Date]])</f>
        <v>1</v>
      </c>
      <c r="O219" s="8">
        <v>12</v>
      </c>
      <c r="P219" s="5" t="s">
        <v>32</v>
      </c>
      <c r="Q219" s="7" t="s">
        <v>15</v>
      </c>
      <c r="R219" s="5">
        <f t="shared" si="3"/>
        <v>0</v>
      </c>
    </row>
    <row r="220" spans="1:18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6" t="b">
        <f>ISNUMBER(financials3[[#This Row],[Date]])</f>
        <v>1</v>
      </c>
      <c r="O220" s="8">
        <v>12</v>
      </c>
      <c r="P220" s="5" t="s">
        <v>32</v>
      </c>
      <c r="Q220" s="7" t="s">
        <v>15</v>
      </c>
      <c r="R220" s="5">
        <f t="shared" si="3"/>
        <v>0</v>
      </c>
    </row>
    <row r="221" spans="1:18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6" t="b">
        <f>ISNUMBER(financials3[[#This Row],[Date]])</f>
        <v>1</v>
      </c>
      <c r="O221" s="8">
        <v>10</v>
      </c>
      <c r="P221" s="5" t="s">
        <v>30</v>
      </c>
      <c r="Q221" s="7" t="s">
        <v>15</v>
      </c>
      <c r="R221" s="5">
        <f t="shared" si="3"/>
        <v>0</v>
      </c>
    </row>
    <row r="222" spans="1:18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6" t="b">
        <f>ISNUMBER(financials3[[#This Row],[Date]])</f>
        <v>1</v>
      </c>
      <c r="O222" s="8">
        <v>7</v>
      </c>
      <c r="P222" s="5" t="s">
        <v>27</v>
      </c>
      <c r="Q222" s="7" t="s">
        <v>15</v>
      </c>
      <c r="R222" s="5">
        <f t="shared" si="3"/>
        <v>0</v>
      </c>
    </row>
    <row r="223" spans="1:18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6" t="b">
        <f>ISNUMBER(financials3[[#This Row],[Date]])</f>
        <v>1</v>
      </c>
      <c r="O223" s="8">
        <v>8</v>
      </c>
      <c r="P223" s="5" t="s">
        <v>28</v>
      </c>
      <c r="Q223" s="7" t="s">
        <v>15</v>
      </c>
      <c r="R223" s="5">
        <f t="shared" si="3"/>
        <v>0</v>
      </c>
    </row>
    <row r="224" spans="1:18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6" t="b">
        <f>ISNUMBER(financials3[[#This Row],[Date]])</f>
        <v>1</v>
      </c>
      <c r="O224" s="8">
        <v>10</v>
      </c>
      <c r="P224" s="5" t="s">
        <v>30</v>
      </c>
      <c r="Q224" s="7" t="s">
        <v>14</v>
      </c>
      <c r="R224" s="5">
        <f t="shared" si="3"/>
        <v>0</v>
      </c>
    </row>
    <row r="225" spans="1:18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6" t="b">
        <f>ISNUMBER(financials3[[#This Row],[Date]])</f>
        <v>1</v>
      </c>
      <c r="O225" s="8">
        <v>2</v>
      </c>
      <c r="P225" s="5" t="s">
        <v>22</v>
      </c>
      <c r="Q225" s="7" t="s">
        <v>15</v>
      </c>
      <c r="R225" s="5">
        <f t="shared" si="3"/>
        <v>0</v>
      </c>
    </row>
    <row r="226" spans="1:18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6" t="b">
        <f>ISNUMBER(financials3[[#This Row],[Date]])</f>
        <v>1</v>
      </c>
      <c r="O226" s="8">
        <v>2</v>
      </c>
      <c r="P226" s="5" t="s">
        <v>22</v>
      </c>
      <c r="Q226" s="7" t="s">
        <v>15</v>
      </c>
      <c r="R226" s="5">
        <f t="shared" si="3"/>
        <v>0</v>
      </c>
    </row>
    <row r="227" spans="1:18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6" t="b">
        <f>ISNUMBER(financials3[[#This Row],[Date]])</f>
        <v>1</v>
      </c>
      <c r="O227" s="8">
        <v>5</v>
      </c>
      <c r="P227" s="5" t="s">
        <v>25</v>
      </c>
      <c r="Q227" s="7" t="s">
        <v>15</v>
      </c>
      <c r="R227" s="5">
        <f t="shared" si="3"/>
        <v>0</v>
      </c>
    </row>
    <row r="228" spans="1:18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6" t="b">
        <f>ISNUMBER(financials3[[#This Row],[Date]])</f>
        <v>1</v>
      </c>
      <c r="O228" s="8">
        <v>6</v>
      </c>
      <c r="P228" s="5" t="s">
        <v>26</v>
      </c>
      <c r="Q228" s="7" t="s">
        <v>15</v>
      </c>
      <c r="R228" s="5">
        <f t="shared" si="3"/>
        <v>0</v>
      </c>
    </row>
    <row r="229" spans="1:18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6" t="b">
        <f>ISNUMBER(financials3[[#This Row],[Date]])</f>
        <v>1</v>
      </c>
      <c r="O229" s="8">
        <v>11</v>
      </c>
      <c r="P229" s="5" t="s">
        <v>31</v>
      </c>
      <c r="Q229" s="7" t="s">
        <v>14</v>
      </c>
      <c r="R229" s="5">
        <f t="shared" si="3"/>
        <v>0</v>
      </c>
    </row>
    <row r="230" spans="1:18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6" t="b">
        <f>ISNUMBER(financials3[[#This Row],[Date]])</f>
        <v>1</v>
      </c>
      <c r="O230" s="8">
        <v>11</v>
      </c>
      <c r="P230" s="5" t="s">
        <v>31</v>
      </c>
      <c r="Q230" s="7" t="s">
        <v>15</v>
      </c>
      <c r="R230" s="5">
        <f t="shared" si="3"/>
        <v>0</v>
      </c>
    </row>
    <row r="231" spans="1:18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6" t="b">
        <f>ISNUMBER(financials3[[#This Row],[Date]])</f>
        <v>1</v>
      </c>
      <c r="O231" s="8">
        <v>12</v>
      </c>
      <c r="P231" s="5" t="s">
        <v>32</v>
      </c>
      <c r="Q231" s="7" t="s">
        <v>15</v>
      </c>
      <c r="R231" s="5">
        <f t="shared" si="3"/>
        <v>0</v>
      </c>
    </row>
    <row r="232" spans="1:18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6" t="b">
        <f>ISNUMBER(financials3[[#This Row],[Date]])</f>
        <v>1</v>
      </c>
      <c r="O232" s="8">
        <v>12</v>
      </c>
      <c r="P232" s="5" t="s">
        <v>32</v>
      </c>
      <c r="Q232" s="7" t="s">
        <v>15</v>
      </c>
      <c r="R232" s="5">
        <f t="shared" si="3"/>
        <v>0</v>
      </c>
    </row>
    <row r="233" spans="1:18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6" t="b">
        <f>ISNUMBER(financials3[[#This Row],[Date]])</f>
        <v>1</v>
      </c>
      <c r="O233" s="8">
        <v>1</v>
      </c>
      <c r="P233" s="5" t="s">
        <v>21</v>
      </c>
      <c r="Q233" s="7" t="s">
        <v>15</v>
      </c>
      <c r="R233" s="5">
        <f t="shared" si="3"/>
        <v>0</v>
      </c>
    </row>
    <row r="234" spans="1:18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6" t="b">
        <f>ISNUMBER(financials3[[#This Row],[Date]])</f>
        <v>1</v>
      </c>
      <c r="O234" s="8">
        <v>7</v>
      </c>
      <c r="P234" s="5" t="s">
        <v>27</v>
      </c>
      <c r="Q234" s="7" t="s">
        <v>15</v>
      </c>
      <c r="R234" s="5">
        <f t="shared" si="3"/>
        <v>0</v>
      </c>
    </row>
    <row r="235" spans="1:18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6" t="b">
        <f>ISNUMBER(financials3[[#This Row],[Date]])</f>
        <v>1</v>
      </c>
      <c r="O235" s="8">
        <v>9</v>
      </c>
      <c r="P235" s="5" t="s">
        <v>29</v>
      </c>
      <c r="Q235" s="7" t="s">
        <v>14</v>
      </c>
      <c r="R235" s="5">
        <f t="shared" si="3"/>
        <v>0</v>
      </c>
    </row>
    <row r="236" spans="1:18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6" t="b">
        <f>ISNUMBER(financials3[[#This Row],[Date]])</f>
        <v>1</v>
      </c>
      <c r="O236" s="8">
        <v>11</v>
      </c>
      <c r="P236" s="5" t="s">
        <v>31</v>
      </c>
      <c r="Q236" s="7" t="s">
        <v>15</v>
      </c>
      <c r="R236" s="5">
        <f t="shared" si="3"/>
        <v>0</v>
      </c>
    </row>
    <row r="237" spans="1:18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6" t="b">
        <f>ISNUMBER(financials3[[#This Row],[Date]])</f>
        <v>1</v>
      </c>
      <c r="O237" s="8">
        <v>12</v>
      </c>
      <c r="P237" s="5" t="s">
        <v>32</v>
      </c>
      <c r="Q237" s="7" t="s">
        <v>14</v>
      </c>
      <c r="R237" s="5">
        <f t="shared" si="3"/>
        <v>0</v>
      </c>
    </row>
    <row r="238" spans="1:18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6" t="b">
        <f>ISNUMBER(financials3[[#This Row],[Date]])</f>
        <v>1</v>
      </c>
      <c r="O238" s="8">
        <v>2</v>
      </c>
      <c r="P238" s="5" t="s">
        <v>22</v>
      </c>
      <c r="Q238" s="7" t="s">
        <v>15</v>
      </c>
      <c r="R238" s="5">
        <f t="shared" si="3"/>
        <v>0</v>
      </c>
    </row>
    <row r="239" spans="1:18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6" t="b">
        <f>ISNUMBER(financials3[[#This Row],[Date]])</f>
        <v>1</v>
      </c>
      <c r="O239" s="8">
        <v>3</v>
      </c>
      <c r="P239" s="5" t="s">
        <v>23</v>
      </c>
      <c r="Q239" s="7" t="s">
        <v>15</v>
      </c>
      <c r="R239" s="5">
        <f t="shared" si="3"/>
        <v>0</v>
      </c>
    </row>
    <row r="240" spans="1:18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6" t="b">
        <f>ISNUMBER(financials3[[#This Row],[Date]])</f>
        <v>1</v>
      </c>
      <c r="O240" s="8">
        <v>3</v>
      </c>
      <c r="P240" s="5" t="s">
        <v>23</v>
      </c>
      <c r="Q240" s="7" t="s">
        <v>15</v>
      </c>
      <c r="R240" s="5">
        <f t="shared" si="3"/>
        <v>0</v>
      </c>
    </row>
    <row r="241" spans="1:18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6" t="b">
        <f>ISNUMBER(financials3[[#This Row],[Date]])</f>
        <v>1</v>
      </c>
      <c r="O241" s="8">
        <v>4</v>
      </c>
      <c r="P241" s="5" t="s">
        <v>24</v>
      </c>
      <c r="Q241" s="7" t="s">
        <v>15</v>
      </c>
      <c r="R241" s="5">
        <f t="shared" si="3"/>
        <v>0</v>
      </c>
    </row>
    <row r="242" spans="1:18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6" t="b">
        <f>ISNUMBER(financials3[[#This Row],[Date]])</f>
        <v>1</v>
      </c>
      <c r="O242" s="8">
        <v>5</v>
      </c>
      <c r="P242" s="5" t="s">
        <v>25</v>
      </c>
      <c r="Q242" s="7" t="s">
        <v>15</v>
      </c>
      <c r="R242" s="5">
        <f t="shared" si="3"/>
        <v>0</v>
      </c>
    </row>
    <row r="243" spans="1:18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6" t="b">
        <f>ISNUMBER(financials3[[#This Row],[Date]])</f>
        <v>1</v>
      </c>
      <c r="O243" s="8">
        <v>6</v>
      </c>
      <c r="P243" s="5" t="s">
        <v>26</v>
      </c>
      <c r="Q243" s="7" t="s">
        <v>15</v>
      </c>
      <c r="R243" s="5">
        <f t="shared" si="3"/>
        <v>0</v>
      </c>
    </row>
    <row r="244" spans="1:18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6" t="b">
        <f>ISNUMBER(financials3[[#This Row],[Date]])</f>
        <v>1</v>
      </c>
      <c r="O244" s="8">
        <v>6</v>
      </c>
      <c r="P244" s="5" t="s">
        <v>26</v>
      </c>
      <c r="Q244" s="7" t="s">
        <v>15</v>
      </c>
      <c r="R244" s="5">
        <f t="shared" si="3"/>
        <v>0</v>
      </c>
    </row>
    <row r="245" spans="1:18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6" t="b">
        <f>ISNUMBER(financials3[[#This Row],[Date]])</f>
        <v>1</v>
      </c>
      <c r="O245" s="8">
        <v>9</v>
      </c>
      <c r="P245" s="5" t="s">
        <v>29</v>
      </c>
      <c r="Q245" s="7" t="s">
        <v>15</v>
      </c>
      <c r="R245" s="5">
        <f t="shared" si="3"/>
        <v>0</v>
      </c>
    </row>
    <row r="246" spans="1:18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6" t="b">
        <f>ISNUMBER(financials3[[#This Row],[Date]])</f>
        <v>1</v>
      </c>
      <c r="O246" s="8">
        <v>10</v>
      </c>
      <c r="P246" s="5" t="s">
        <v>30</v>
      </c>
      <c r="Q246" s="7" t="s">
        <v>14</v>
      </c>
      <c r="R246" s="5">
        <f t="shared" si="3"/>
        <v>0</v>
      </c>
    </row>
    <row r="247" spans="1:18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6" t="b">
        <f>ISNUMBER(financials3[[#This Row],[Date]])</f>
        <v>1</v>
      </c>
      <c r="O247" s="8">
        <v>10</v>
      </c>
      <c r="P247" s="5" t="s">
        <v>30</v>
      </c>
      <c r="Q247" s="7" t="s">
        <v>14</v>
      </c>
      <c r="R247" s="5">
        <f t="shared" si="3"/>
        <v>0</v>
      </c>
    </row>
    <row r="248" spans="1:18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6" t="b">
        <f>ISNUMBER(financials3[[#This Row],[Date]])</f>
        <v>1</v>
      </c>
      <c r="O248" s="8">
        <v>10</v>
      </c>
      <c r="P248" s="5" t="s">
        <v>30</v>
      </c>
      <c r="Q248" s="7" t="s">
        <v>15</v>
      </c>
      <c r="R248" s="5">
        <f t="shared" si="3"/>
        <v>0</v>
      </c>
    </row>
    <row r="249" spans="1:18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6" t="b">
        <f>ISNUMBER(financials3[[#This Row],[Date]])</f>
        <v>1</v>
      </c>
      <c r="O249" s="8">
        <v>10</v>
      </c>
      <c r="P249" s="5" t="s">
        <v>30</v>
      </c>
      <c r="Q249" s="7" t="s">
        <v>14</v>
      </c>
      <c r="R249" s="5">
        <f t="shared" si="3"/>
        <v>0</v>
      </c>
    </row>
    <row r="250" spans="1:18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6" t="b">
        <f>ISNUMBER(financials3[[#This Row],[Date]])</f>
        <v>1</v>
      </c>
      <c r="O250" s="8">
        <v>12</v>
      </c>
      <c r="P250" s="5" t="s">
        <v>32</v>
      </c>
      <c r="Q250" s="7" t="s">
        <v>14</v>
      </c>
      <c r="R250" s="5">
        <f t="shared" si="3"/>
        <v>0</v>
      </c>
    </row>
    <row r="251" spans="1:18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6" t="b">
        <f>ISNUMBER(financials3[[#This Row],[Date]])</f>
        <v>1</v>
      </c>
      <c r="O251" s="8">
        <v>12</v>
      </c>
      <c r="P251" s="5" t="s">
        <v>32</v>
      </c>
      <c r="Q251" s="7" t="s">
        <v>15</v>
      </c>
      <c r="R251" s="5">
        <f t="shared" si="3"/>
        <v>0</v>
      </c>
    </row>
    <row r="252" spans="1:18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6" t="b">
        <f>ISNUMBER(financials3[[#This Row],[Date]])</f>
        <v>1</v>
      </c>
      <c r="O252" s="8">
        <v>12</v>
      </c>
      <c r="P252" s="5" t="s">
        <v>32</v>
      </c>
      <c r="Q252" s="7" t="s">
        <v>14</v>
      </c>
      <c r="R252" s="5">
        <f t="shared" si="3"/>
        <v>0</v>
      </c>
    </row>
    <row r="253" spans="1:18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6" t="b">
        <f>ISNUMBER(financials3[[#This Row],[Date]])</f>
        <v>1</v>
      </c>
      <c r="O253" s="8">
        <v>12</v>
      </c>
      <c r="P253" s="5" t="s">
        <v>32</v>
      </c>
      <c r="Q253" s="7" t="s">
        <v>14</v>
      </c>
      <c r="R253" s="5">
        <f t="shared" si="3"/>
        <v>0</v>
      </c>
    </row>
    <row r="254" spans="1:18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6" t="b">
        <f>ISNUMBER(financials3[[#This Row],[Date]])</f>
        <v>1</v>
      </c>
      <c r="O254" s="8">
        <v>1</v>
      </c>
      <c r="P254" s="5" t="s">
        <v>21</v>
      </c>
      <c r="Q254" s="7" t="s">
        <v>15</v>
      </c>
      <c r="R254" s="5">
        <f t="shared" si="3"/>
        <v>0</v>
      </c>
    </row>
    <row r="255" spans="1:18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6" t="b">
        <f>ISNUMBER(financials3[[#This Row],[Date]])</f>
        <v>1</v>
      </c>
      <c r="O255" s="8">
        <v>1</v>
      </c>
      <c r="P255" s="5" t="s">
        <v>21</v>
      </c>
      <c r="Q255" s="7" t="s">
        <v>15</v>
      </c>
      <c r="R255" s="5">
        <f t="shared" si="3"/>
        <v>0</v>
      </c>
    </row>
    <row r="256" spans="1:18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6" t="b">
        <f>ISNUMBER(financials3[[#This Row],[Date]])</f>
        <v>1</v>
      </c>
      <c r="O256" s="8">
        <v>2</v>
      </c>
      <c r="P256" s="5" t="s">
        <v>22</v>
      </c>
      <c r="Q256" s="7" t="s">
        <v>15</v>
      </c>
      <c r="R256" s="5">
        <f t="shared" si="3"/>
        <v>0</v>
      </c>
    </row>
    <row r="257" spans="1:18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6" t="b">
        <f>ISNUMBER(financials3[[#This Row],[Date]])</f>
        <v>1</v>
      </c>
      <c r="O257" s="8">
        <v>6</v>
      </c>
      <c r="P257" s="5" t="s">
        <v>26</v>
      </c>
      <c r="Q257" s="7" t="s">
        <v>15</v>
      </c>
      <c r="R257" s="5">
        <f t="shared" si="3"/>
        <v>0</v>
      </c>
    </row>
    <row r="258" spans="1:18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6" t="b">
        <f>ISNUMBER(financials3[[#This Row],[Date]])</f>
        <v>1</v>
      </c>
      <c r="O258" s="8">
        <v>8</v>
      </c>
      <c r="P258" s="5" t="s">
        <v>28</v>
      </c>
      <c r="Q258" s="7" t="s">
        <v>15</v>
      </c>
      <c r="R258" s="5">
        <f t="shared" ref="R258:R321" si="4">COUNTIFS(A:A,A258,B:B,B258,C:C,C258,D:D,D258,E:E,E258,F:F,F258,G:G,G258,H:H,H258,I:I,I258,J:J,J258,K:K,K258,L:L,L258,M:M,M258,N:N,O258,O:O,P258,P:P,Q258)</f>
        <v>0</v>
      </c>
    </row>
    <row r="259" spans="1:18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6" t="b">
        <f>ISNUMBER(financials3[[#This Row],[Date]])</f>
        <v>1</v>
      </c>
      <c r="O259" s="8">
        <v>8</v>
      </c>
      <c r="P259" s="5" t="s">
        <v>28</v>
      </c>
      <c r="Q259" s="7" t="s">
        <v>15</v>
      </c>
      <c r="R259" s="5">
        <f t="shared" si="4"/>
        <v>0</v>
      </c>
    </row>
    <row r="260" spans="1:18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6" t="b">
        <f>ISNUMBER(financials3[[#This Row],[Date]])</f>
        <v>1</v>
      </c>
      <c r="O260" s="8">
        <v>10</v>
      </c>
      <c r="P260" s="5" t="s">
        <v>30</v>
      </c>
      <c r="Q260" s="7" t="s">
        <v>15</v>
      </c>
      <c r="R260" s="5">
        <f t="shared" si="4"/>
        <v>0</v>
      </c>
    </row>
    <row r="261" spans="1:18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6" t="b">
        <f>ISNUMBER(financials3[[#This Row],[Date]])</f>
        <v>1</v>
      </c>
      <c r="O261" s="8">
        <v>10</v>
      </c>
      <c r="P261" s="5" t="s">
        <v>30</v>
      </c>
      <c r="Q261" s="7" t="s">
        <v>14</v>
      </c>
      <c r="R261" s="5">
        <f t="shared" si="4"/>
        <v>0</v>
      </c>
    </row>
    <row r="262" spans="1:18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6" t="b">
        <f>ISNUMBER(financials3[[#This Row],[Date]])</f>
        <v>1</v>
      </c>
      <c r="O262" s="8">
        <v>12</v>
      </c>
      <c r="P262" s="5" t="s">
        <v>32</v>
      </c>
      <c r="Q262" s="7" t="s">
        <v>14</v>
      </c>
      <c r="R262" s="5">
        <f t="shared" si="4"/>
        <v>0</v>
      </c>
    </row>
    <row r="263" spans="1:18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6" t="b">
        <f>ISNUMBER(financials3[[#This Row],[Date]])</f>
        <v>1</v>
      </c>
      <c r="O263" s="8">
        <v>12</v>
      </c>
      <c r="P263" s="5" t="s">
        <v>32</v>
      </c>
      <c r="Q263" s="7" t="s">
        <v>15</v>
      </c>
      <c r="R263" s="5">
        <f t="shared" si="4"/>
        <v>0</v>
      </c>
    </row>
    <row r="264" spans="1:18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6" t="b">
        <f>ISNUMBER(financials3[[#This Row],[Date]])</f>
        <v>1</v>
      </c>
      <c r="O264" s="8">
        <v>10</v>
      </c>
      <c r="P264" s="5" t="s">
        <v>30</v>
      </c>
      <c r="Q264" s="7" t="s">
        <v>14</v>
      </c>
      <c r="R264" s="5">
        <f t="shared" si="4"/>
        <v>0</v>
      </c>
    </row>
    <row r="265" spans="1:18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6" t="b">
        <f>ISNUMBER(financials3[[#This Row],[Date]])</f>
        <v>1</v>
      </c>
      <c r="O265" s="8">
        <v>11</v>
      </c>
      <c r="P265" s="5" t="s">
        <v>31</v>
      </c>
      <c r="Q265" s="7" t="s">
        <v>14</v>
      </c>
      <c r="R265" s="5">
        <f t="shared" si="4"/>
        <v>0</v>
      </c>
    </row>
    <row r="266" spans="1:18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6" t="b">
        <f>ISNUMBER(financials3[[#This Row],[Date]])</f>
        <v>1</v>
      </c>
      <c r="O266" s="8">
        <v>11</v>
      </c>
      <c r="P266" s="5" t="s">
        <v>31</v>
      </c>
      <c r="Q266" s="7" t="s">
        <v>14</v>
      </c>
      <c r="R266" s="5">
        <f t="shared" si="4"/>
        <v>0</v>
      </c>
    </row>
    <row r="267" spans="1:18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6" t="b">
        <f>ISNUMBER(financials3[[#This Row],[Date]])</f>
        <v>1</v>
      </c>
      <c r="O267" s="8">
        <v>12</v>
      </c>
      <c r="P267" s="5" t="s">
        <v>32</v>
      </c>
      <c r="Q267" s="7" t="s">
        <v>15</v>
      </c>
      <c r="R267" s="5">
        <f t="shared" si="4"/>
        <v>0</v>
      </c>
    </row>
    <row r="268" spans="1:18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6" t="b">
        <f>ISNUMBER(financials3[[#This Row],[Date]])</f>
        <v>1</v>
      </c>
      <c r="O268" s="8">
        <v>12</v>
      </c>
      <c r="P268" s="5" t="s">
        <v>32</v>
      </c>
      <c r="Q268" s="7" t="s">
        <v>15</v>
      </c>
      <c r="R268" s="5">
        <f t="shared" si="4"/>
        <v>0</v>
      </c>
    </row>
    <row r="269" spans="1:18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6" t="b">
        <f>ISNUMBER(financials3[[#This Row],[Date]])</f>
        <v>1</v>
      </c>
      <c r="O269" s="8">
        <v>12</v>
      </c>
      <c r="P269" s="5" t="s">
        <v>32</v>
      </c>
      <c r="Q269" s="7" t="s">
        <v>15</v>
      </c>
      <c r="R269" s="5">
        <f t="shared" si="4"/>
        <v>0</v>
      </c>
    </row>
    <row r="270" spans="1:18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6" t="b">
        <f>ISNUMBER(financials3[[#This Row],[Date]])</f>
        <v>1</v>
      </c>
      <c r="O270" s="8">
        <v>2</v>
      </c>
      <c r="P270" s="5" t="s">
        <v>22</v>
      </c>
      <c r="Q270" s="7" t="s">
        <v>15</v>
      </c>
      <c r="R270" s="5">
        <f t="shared" si="4"/>
        <v>0</v>
      </c>
    </row>
    <row r="271" spans="1:18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6" t="b">
        <f>ISNUMBER(financials3[[#This Row],[Date]])</f>
        <v>1</v>
      </c>
      <c r="O271" s="8">
        <v>8</v>
      </c>
      <c r="P271" s="5" t="s">
        <v>28</v>
      </c>
      <c r="Q271" s="7" t="s">
        <v>15</v>
      </c>
      <c r="R271" s="5">
        <f t="shared" si="4"/>
        <v>0</v>
      </c>
    </row>
    <row r="272" spans="1:18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6" t="b">
        <f>ISNUMBER(financials3[[#This Row],[Date]])</f>
        <v>1</v>
      </c>
      <c r="O272" s="8">
        <v>10</v>
      </c>
      <c r="P272" s="5" t="s">
        <v>30</v>
      </c>
      <c r="Q272" s="7" t="s">
        <v>14</v>
      </c>
      <c r="R272" s="5">
        <f t="shared" si="4"/>
        <v>0</v>
      </c>
    </row>
    <row r="273" spans="1:18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6" t="b">
        <f>ISNUMBER(financials3[[#This Row],[Date]])</f>
        <v>1</v>
      </c>
      <c r="O273" s="8">
        <v>12</v>
      </c>
      <c r="P273" s="5" t="s">
        <v>32</v>
      </c>
      <c r="Q273" s="7" t="s">
        <v>15</v>
      </c>
      <c r="R273" s="5">
        <f t="shared" si="4"/>
        <v>0</v>
      </c>
    </row>
    <row r="274" spans="1:18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6" t="b">
        <f>ISNUMBER(financials3[[#This Row],[Date]])</f>
        <v>1</v>
      </c>
      <c r="O274" s="8">
        <v>4</v>
      </c>
      <c r="P274" s="5" t="s">
        <v>24</v>
      </c>
      <c r="Q274" s="7" t="s">
        <v>15</v>
      </c>
      <c r="R274" s="5">
        <f t="shared" si="4"/>
        <v>0</v>
      </c>
    </row>
    <row r="275" spans="1:18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6" t="b">
        <f>ISNUMBER(financials3[[#This Row],[Date]])</f>
        <v>1</v>
      </c>
      <c r="O275" s="8">
        <v>1</v>
      </c>
      <c r="P275" s="5" t="s">
        <v>21</v>
      </c>
      <c r="Q275" s="7" t="s">
        <v>15</v>
      </c>
      <c r="R275" s="5">
        <f t="shared" si="4"/>
        <v>0</v>
      </c>
    </row>
    <row r="276" spans="1:18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6" t="b">
        <f>ISNUMBER(financials3[[#This Row],[Date]])</f>
        <v>1</v>
      </c>
      <c r="O276" s="8">
        <v>6</v>
      </c>
      <c r="P276" s="5" t="s">
        <v>26</v>
      </c>
      <c r="Q276" s="7" t="s">
        <v>15</v>
      </c>
      <c r="R276" s="5">
        <f t="shared" si="4"/>
        <v>0</v>
      </c>
    </row>
    <row r="277" spans="1:18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6" t="b">
        <f>ISNUMBER(financials3[[#This Row],[Date]])</f>
        <v>1</v>
      </c>
      <c r="O277" s="8">
        <v>9</v>
      </c>
      <c r="P277" s="5" t="s">
        <v>29</v>
      </c>
      <c r="Q277" s="7" t="s">
        <v>15</v>
      </c>
      <c r="R277" s="5">
        <f t="shared" si="4"/>
        <v>0</v>
      </c>
    </row>
    <row r="278" spans="1:18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6" t="b">
        <f>ISNUMBER(financials3[[#This Row],[Date]])</f>
        <v>1</v>
      </c>
      <c r="O278" s="8">
        <v>10</v>
      </c>
      <c r="P278" s="5" t="s">
        <v>30</v>
      </c>
      <c r="Q278" s="7" t="s">
        <v>14</v>
      </c>
      <c r="R278" s="5">
        <f t="shared" si="4"/>
        <v>0</v>
      </c>
    </row>
    <row r="279" spans="1:18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6" t="b">
        <f>ISNUMBER(financials3[[#This Row],[Date]])</f>
        <v>1</v>
      </c>
      <c r="O279" s="8">
        <v>11</v>
      </c>
      <c r="P279" s="5" t="s">
        <v>31</v>
      </c>
      <c r="Q279" s="7" t="s">
        <v>15</v>
      </c>
      <c r="R279" s="5">
        <f t="shared" si="4"/>
        <v>0</v>
      </c>
    </row>
    <row r="280" spans="1:18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6" t="b">
        <f>ISNUMBER(financials3[[#This Row],[Date]])</f>
        <v>1</v>
      </c>
      <c r="O280" s="8">
        <v>11</v>
      </c>
      <c r="P280" s="5" t="s">
        <v>31</v>
      </c>
      <c r="Q280" s="7" t="s">
        <v>14</v>
      </c>
      <c r="R280" s="5">
        <f t="shared" si="4"/>
        <v>0</v>
      </c>
    </row>
    <row r="281" spans="1:18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6" t="b">
        <f>ISNUMBER(financials3[[#This Row],[Date]])</f>
        <v>1</v>
      </c>
      <c r="O281" s="8">
        <v>12</v>
      </c>
      <c r="P281" s="5" t="s">
        <v>32</v>
      </c>
      <c r="Q281" s="7" t="s">
        <v>14</v>
      </c>
      <c r="R281" s="5">
        <f t="shared" si="4"/>
        <v>0</v>
      </c>
    </row>
    <row r="282" spans="1:18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6" t="b">
        <f>ISNUMBER(financials3[[#This Row],[Date]])</f>
        <v>1</v>
      </c>
      <c r="O282" s="8">
        <v>4</v>
      </c>
      <c r="P282" s="5" t="s">
        <v>24</v>
      </c>
      <c r="Q282" s="7" t="s">
        <v>15</v>
      </c>
      <c r="R282" s="5">
        <f t="shared" si="4"/>
        <v>0</v>
      </c>
    </row>
    <row r="283" spans="1:18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6" t="b">
        <f>ISNUMBER(financials3[[#This Row],[Date]])</f>
        <v>1</v>
      </c>
      <c r="O283" s="8">
        <v>5</v>
      </c>
      <c r="P283" s="5" t="s">
        <v>25</v>
      </c>
      <c r="Q283" s="7" t="s">
        <v>15</v>
      </c>
      <c r="R283" s="5">
        <f t="shared" si="4"/>
        <v>0</v>
      </c>
    </row>
    <row r="284" spans="1:18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6" t="b">
        <f>ISNUMBER(financials3[[#This Row],[Date]])</f>
        <v>1</v>
      </c>
      <c r="O284" s="8">
        <v>10</v>
      </c>
      <c r="P284" s="5" t="s">
        <v>30</v>
      </c>
      <c r="Q284" s="7" t="s">
        <v>14</v>
      </c>
      <c r="R284" s="5">
        <f t="shared" si="4"/>
        <v>0</v>
      </c>
    </row>
    <row r="285" spans="1:18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6" t="b">
        <f>ISNUMBER(financials3[[#This Row],[Date]])</f>
        <v>1</v>
      </c>
      <c r="O285" s="8">
        <v>11</v>
      </c>
      <c r="P285" s="5" t="s">
        <v>31</v>
      </c>
      <c r="Q285" s="7" t="s">
        <v>15</v>
      </c>
      <c r="R285" s="5">
        <f t="shared" si="4"/>
        <v>0</v>
      </c>
    </row>
    <row r="286" spans="1:18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6" t="b">
        <f>ISNUMBER(financials3[[#This Row],[Date]])</f>
        <v>1</v>
      </c>
      <c r="O286" s="8">
        <v>6</v>
      </c>
      <c r="P286" s="5" t="s">
        <v>26</v>
      </c>
      <c r="Q286" s="7" t="s">
        <v>15</v>
      </c>
      <c r="R286" s="5">
        <f t="shared" si="4"/>
        <v>0</v>
      </c>
    </row>
    <row r="287" spans="1:18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6" t="b">
        <f>ISNUMBER(financials3[[#This Row],[Date]])</f>
        <v>1</v>
      </c>
      <c r="O287" s="8">
        <v>10</v>
      </c>
      <c r="P287" s="5" t="s">
        <v>30</v>
      </c>
      <c r="Q287" s="7" t="s">
        <v>14</v>
      </c>
      <c r="R287" s="5">
        <f t="shared" si="4"/>
        <v>0</v>
      </c>
    </row>
    <row r="288" spans="1:18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6" t="b">
        <f>ISNUMBER(financials3[[#This Row],[Date]])</f>
        <v>1</v>
      </c>
      <c r="O288" s="8">
        <v>10</v>
      </c>
      <c r="P288" s="5" t="s">
        <v>30</v>
      </c>
      <c r="Q288" s="7" t="s">
        <v>14</v>
      </c>
      <c r="R288" s="5">
        <f t="shared" si="4"/>
        <v>0</v>
      </c>
    </row>
    <row r="289" spans="1:18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6" t="b">
        <f>ISNUMBER(financials3[[#This Row],[Date]])</f>
        <v>1</v>
      </c>
      <c r="O289" s="8">
        <v>2</v>
      </c>
      <c r="P289" s="5" t="s">
        <v>22</v>
      </c>
      <c r="Q289" s="7" t="s">
        <v>15</v>
      </c>
      <c r="R289" s="5">
        <f t="shared" si="4"/>
        <v>0</v>
      </c>
    </row>
    <row r="290" spans="1:18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6" t="b">
        <f>ISNUMBER(financials3[[#This Row],[Date]])</f>
        <v>1</v>
      </c>
      <c r="O290" s="8">
        <v>2</v>
      </c>
      <c r="P290" s="5" t="s">
        <v>22</v>
      </c>
      <c r="Q290" s="7" t="s">
        <v>15</v>
      </c>
      <c r="R290" s="5">
        <f t="shared" si="4"/>
        <v>0</v>
      </c>
    </row>
    <row r="291" spans="1:18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6" t="b">
        <f>ISNUMBER(financials3[[#This Row],[Date]])</f>
        <v>1</v>
      </c>
      <c r="O291" s="8">
        <v>5</v>
      </c>
      <c r="P291" s="5" t="s">
        <v>25</v>
      </c>
      <c r="Q291" s="7" t="s">
        <v>15</v>
      </c>
      <c r="R291" s="5">
        <f t="shared" si="4"/>
        <v>0</v>
      </c>
    </row>
    <row r="292" spans="1:18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6" t="b">
        <f>ISNUMBER(financials3[[#This Row],[Date]])</f>
        <v>1</v>
      </c>
      <c r="O292" s="8">
        <v>6</v>
      </c>
      <c r="P292" s="5" t="s">
        <v>26</v>
      </c>
      <c r="Q292" s="7" t="s">
        <v>15</v>
      </c>
      <c r="R292" s="5">
        <f t="shared" si="4"/>
        <v>0</v>
      </c>
    </row>
    <row r="293" spans="1:18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6" t="b">
        <f>ISNUMBER(financials3[[#This Row],[Date]])</f>
        <v>1</v>
      </c>
      <c r="O293" s="8">
        <v>6</v>
      </c>
      <c r="P293" s="5" t="s">
        <v>26</v>
      </c>
      <c r="Q293" s="7" t="s">
        <v>15</v>
      </c>
      <c r="R293" s="5">
        <f t="shared" si="4"/>
        <v>0</v>
      </c>
    </row>
    <row r="294" spans="1:18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6" t="b">
        <f>ISNUMBER(financials3[[#This Row],[Date]])</f>
        <v>1</v>
      </c>
      <c r="O294" s="8">
        <v>10</v>
      </c>
      <c r="P294" s="5" t="s">
        <v>30</v>
      </c>
      <c r="Q294" s="7" t="s">
        <v>14</v>
      </c>
      <c r="R294" s="5">
        <f t="shared" si="4"/>
        <v>0</v>
      </c>
    </row>
    <row r="295" spans="1:18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6" t="b">
        <f>ISNUMBER(financials3[[#This Row],[Date]])</f>
        <v>1</v>
      </c>
      <c r="O295" s="8">
        <v>10</v>
      </c>
      <c r="P295" s="5" t="s">
        <v>30</v>
      </c>
      <c r="Q295" s="7" t="s">
        <v>14</v>
      </c>
      <c r="R295" s="5">
        <f t="shared" si="4"/>
        <v>0</v>
      </c>
    </row>
    <row r="296" spans="1:18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6" t="b">
        <f>ISNUMBER(financials3[[#This Row],[Date]])</f>
        <v>1</v>
      </c>
      <c r="O296" s="8">
        <v>6</v>
      </c>
      <c r="P296" s="5" t="s">
        <v>26</v>
      </c>
      <c r="Q296" s="7" t="s">
        <v>15</v>
      </c>
      <c r="R296" s="5">
        <f t="shared" si="4"/>
        <v>0</v>
      </c>
    </row>
    <row r="297" spans="1:18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6" t="b">
        <f>ISNUMBER(financials3[[#This Row],[Date]])</f>
        <v>1</v>
      </c>
      <c r="O297" s="8">
        <v>6</v>
      </c>
      <c r="P297" s="5" t="s">
        <v>26</v>
      </c>
      <c r="Q297" s="7" t="s">
        <v>15</v>
      </c>
      <c r="R297" s="5">
        <f t="shared" si="4"/>
        <v>0</v>
      </c>
    </row>
    <row r="298" spans="1:18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6" t="b">
        <f>ISNUMBER(financials3[[#This Row],[Date]])</f>
        <v>1</v>
      </c>
      <c r="O298" s="8">
        <v>10</v>
      </c>
      <c r="P298" s="5" t="s">
        <v>30</v>
      </c>
      <c r="Q298" s="7" t="s">
        <v>14</v>
      </c>
      <c r="R298" s="5">
        <f t="shared" si="4"/>
        <v>0</v>
      </c>
    </row>
    <row r="299" spans="1:18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6" t="b">
        <f>ISNUMBER(financials3[[#This Row],[Date]])</f>
        <v>1</v>
      </c>
      <c r="O299" s="8">
        <v>11</v>
      </c>
      <c r="P299" s="5" t="s">
        <v>31</v>
      </c>
      <c r="Q299" s="7" t="s">
        <v>14</v>
      </c>
      <c r="R299" s="5">
        <f t="shared" si="4"/>
        <v>0</v>
      </c>
    </row>
    <row r="300" spans="1:18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6" t="b">
        <f>ISNUMBER(financials3[[#This Row],[Date]])</f>
        <v>1</v>
      </c>
      <c r="O300" s="8">
        <v>12</v>
      </c>
      <c r="P300" s="5" t="s">
        <v>32</v>
      </c>
      <c r="Q300" s="7" t="s">
        <v>14</v>
      </c>
      <c r="R300" s="5">
        <f t="shared" si="4"/>
        <v>0</v>
      </c>
    </row>
    <row r="301" spans="1:18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6" t="b">
        <f>ISNUMBER(financials3[[#This Row],[Date]])</f>
        <v>1</v>
      </c>
      <c r="O301" s="8">
        <v>1</v>
      </c>
      <c r="P301" s="5" t="s">
        <v>21</v>
      </c>
      <c r="Q301" s="7" t="s">
        <v>15</v>
      </c>
      <c r="R301" s="5">
        <f t="shared" si="4"/>
        <v>0</v>
      </c>
    </row>
    <row r="302" spans="1:18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6" t="b">
        <f>ISNUMBER(financials3[[#This Row],[Date]])</f>
        <v>1</v>
      </c>
      <c r="O302" s="8">
        <v>9</v>
      </c>
      <c r="P302" s="5" t="s">
        <v>29</v>
      </c>
      <c r="Q302" s="7" t="s">
        <v>15</v>
      </c>
      <c r="R302" s="5">
        <f t="shared" si="4"/>
        <v>0</v>
      </c>
    </row>
    <row r="303" spans="1:18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6" t="b">
        <f>ISNUMBER(financials3[[#This Row],[Date]])</f>
        <v>1</v>
      </c>
      <c r="O303" s="8">
        <v>10</v>
      </c>
      <c r="P303" s="5" t="s">
        <v>30</v>
      </c>
      <c r="Q303" s="7" t="s">
        <v>14</v>
      </c>
      <c r="R303" s="5">
        <f t="shared" si="4"/>
        <v>0</v>
      </c>
    </row>
    <row r="304" spans="1:18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6" t="b">
        <f>ISNUMBER(financials3[[#This Row],[Date]])</f>
        <v>1</v>
      </c>
      <c r="O304" s="8">
        <v>10</v>
      </c>
      <c r="P304" s="5" t="s">
        <v>30</v>
      </c>
      <c r="Q304" s="7" t="s">
        <v>14</v>
      </c>
      <c r="R304" s="5">
        <f t="shared" si="4"/>
        <v>0</v>
      </c>
    </row>
    <row r="305" spans="1:18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6" t="b">
        <f>ISNUMBER(financials3[[#This Row],[Date]])</f>
        <v>1</v>
      </c>
      <c r="O305" s="8">
        <v>10</v>
      </c>
      <c r="P305" s="5" t="s">
        <v>30</v>
      </c>
      <c r="Q305" s="7" t="s">
        <v>14</v>
      </c>
      <c r="R305" s="5">
        <f t="shared" si="4"/>
        <v>0</v>
      </c>
    </row>
    <row r="306" spans="1:18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6" t="b">
        <f>ISNUMBER(financials3[[#This Row],[Date]])</f>
        <v>1</v>
      </c>
      <c r="O306" s="8">
        <v>10</v>
      </c>
      <c r="P306" s="5" t="s">
        <v>30</v>
      </c>
      <c r="Q306" s="7" t="s">
        <v>14</v>
      </c>
      <c r="R306" s="5">
        <f t="shared" si="4"/>
        <v>0</v>
      </c>
    </row>
    <row r="307" spans="1:18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6" t="b">
        <f>ISNUMBER(financials3[[#This Row],[Date]])</f>
        <v>1</v>
      </c>
      <c r="O307" s="8">
        <v>8</v>
      </c>
      <c r="P307" s="5" t="s">
        <v>28</v>
      </c>
      <c r="Q307" s="7" t="s">
        <v>15</v>
      </c>
      <c r="R307" s="5">
        <f t="shared" si="4"/>
        <v>0</v>
      </c>
    </row>
    <row r="308" spans="1:18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6" t="b">
        <f>ISNUMBER(financials3[[#This Row],[Date]])</f>
        <v>1</v>
      </c>
      <c r="O308" s="8">
        <v>8</v>
      </c>
      <c r="P308" s="5" t="s">
        <v>28</v>
      </c>
      <c r="Q308" s="7" t="s">
        <v>15</v>
      </c>
      <c r="R308" s="5">
        <f t="shared" si="4"/>
        <v>0</v>
      </c>
    </row>
    <row r="309" spans="1:18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6" t="b">
        <f>ISNUMBER(financials3[[#This Row],[Date]])</f>
        <v>1</v>
      </c>
      <c r="O309" s="8">
        <v>10</v>
      </c>
      <c r="P309" s="5" t="s">
        <v>30</v>
      </c>
      <c r="Q309" s="7" t="s">
        <v>15</v>
      </c>
      <c r="R309" s="5">
        <f t="shared" si="4"/>
        <v>0</v>
      </c>
    </row>
    <row r="310" spans="1:18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6" t="b">
        <f>ISNUMBER(financials3[[#This Row],[Date]])</f>
        <v>1</v>
      </c>
      <c r="O310" s="8">
        <v>10</v>
      </c>
      <c r="P310" s="5" t="s">
        <v>30</v>
      </c>
      <c r="Q310" s="7" t="s">
        <v>14</v>
      </c>
      <c r="R310" s="5">
        <f t="shared" si="4"/>
        <v>0</v>
      </c>
    </row>
    <row r="311" spans="1:18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6" t="b">
        <f>ISNUMBER(financials3[[#This Row],[Date]])</f>
        <v>1</v>
      </c>
      <c r="O311" s="8">
        <v>8</v>
      </c>
      <c r="P311" s="5" t="s">
        <v>28</v>
      </c>
      <c r="Q311" s="7" t="s">
        <v>15</v>
      </c>
      <c r="R311" s="5">
        <f t="shared" si="4"/>
        <v>0</v>
      </c>
    </row>
    <row r="312" spans="1:18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6" t="b">
        <f>ISNUMBER(financials3[[#This Row],[Date]])</f>
        <v>1</v>
      </c>
      <c r="O312" s="8">
        <v>11</v>
      </c>
      <c r="P312" s="5" t="s">
        <v>31</v>
      </c>
      <c r="Q312" s="7" t="s">
        <v>15</v>
      </c>
      <c r="R312" s="5">
        <f t="shared" si="4"/>
        <v>0</v>
      </c>
    </row>
    <row r="313" spans="1:18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6" t="b">
        <f>ISNUMBER(financials3[[#This Row],[Date]])</f>
        <v>1</v>
      </c>
      <c r="O313" s="8">
        <v>10</v>
      </c>
      <c r="P313" s="5" t="s">
        <v>30</v>
      </c>
      <c r="Q313" s="7" t="s">
        <v>15</v>
      </c>
      <c r="R313" s="5">
        <f t="shared" si="4"/>
        <v>0</v>
      </c>
    </row>
    <row r="314" spans="1:18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6" t="b">
        <f>ISNUMBER(financials3[[#This Row],[Date]])</f>
        <v>1</v>
      </c>
      <c r="O314" s="8">
        <v>2</v>
      </c>
      <c r="P314" s="5" t="s">
        <v>22</v>
      </c>
      <c r="Q314" s="7" t="s">
        <v>15</v>
      </c>
      <c r="R314" s="5">
        <f t="shared" si="4"/>
        <v>0</v>
      </c>
    </row>
    <row r="315" spans="1:18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6" t="b">
        <f>ISNUMBER(financials3[[#This Row],[Date]])</f>
        <v>1</v>
      </c>
      <c r="O315" s="8">
        <v>8</v>
      </c>
      <c r="P315" s="5" t="s">
        <v>28</v>
      </c>
      <c r="Q315" s="7" t="s">
        <v>15</v>
      </c>
      <c r="R315" s="5">
        <f t="shared" si="4"/>
        <v>0</v>
      </c>
    </row>
    <row r="316" spans="1:18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6" t="b">
        <f>ISNUMBER(financials3[[#This Row],[Date]])</f>
        <v>1</v>
      </c>
      <c r="O316" s="8">
        <v>9</v>
      </c>
      <c r="P316" s="5" t="s">
        <v>29</v>
      </c>
      <c r="Q316" s="7" t="s">
        <v>14</v>
      </c>
      <c r="R316" s="5">
        <f t="shared" si="4"/>
        <v>0</v>
      </c>
    </row>
    <row r="317" spans="1:18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6" t="b">
        <f>ISNUMBER(financials3[[#This Row],[Date]])</f>
        <v>1</v>
      </c>
      <c r="O317" s="8">
        <v>1</v>
      </c>
      <c r="P317" s="5" t="s">
        <v>21</v>
      </c>
      <c r="Q317" s="7" t="s">
        <v>15</v>
      </c>
      <c r="R317" s="5">
        <f t="shared" si="4"/>
        <v>0</v>
      </c>
    </row>
    <row r="318" spans="1:18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6" t="b">
        <f>ISNUMBER(financials3[[#This Row],[Date]])</f>
        <v>1</v>
      </c>
      <c r="O318" s="8">
        <v>11</v>
      </c>
      <c r="P318" s="5" t="s">
        <v>31</v>
      </c>
      <c r="Q318" s="7" t="s">
        <v>15</v>
      </c>
      <c r="R318" s="5">
        <f t="shared" si="4"/>
        <v>0</v>
      </c>
    </row>
    <row r="319" spans="1:18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6" t="b">
        <f>ISNUMBER(financials3[[#This Row],[Date]])</f>
        <v>1</v>
      </c>
      <c r="O319" s="8">
        <v>9</v>
      </c>
      <c r="P319" s="5" t="s">
        <v>29</v>
      </c>
      <c r="Q319" s="7" t="s">
        <v>14</v>
      </c>
      <c r="R319" s="5">
        <f t="shared" si="4"/>
        <v>0</v>
      </c>
    </row>
    <row r="320" spans="1:18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6" t="b">
        <f>ISNUMBER(financials3[[#This Row],[Date]])</f>
        <v>1</v>
      </c>
      <c r="O320" s="8">
        <v>5</v>
      </c>
      <c r="P320" s="5" t="s">
        <v>25</v>
      </c>
      <c r="Q320" s="7" t="s">
        <v>15</v>
      </c>
      <c r="R320" s="5">
        <f t="shared" si="4"/>
        <v>0</v>
      </c>
    </row>
    <row r="321" spans="1:18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6" t="b">
        <f>ISNUMBER(financials3[[#This Row],[Date]])</f>
        <v>1</v>
      </c>
      <c r="O321" s="8">
        <v>6</v>
      </c>
      <c r="P321" s="5" t="s">
        <v>26</v>
      </c>
      <c r="Q321" s="7" t="s">
        <v>15</v>
      </c>
      <c r="R321" s="5">
        <f t="shared" si="4"/>
        <v>0</v>
      </c>
    </row>
    <row r="322" spans="1:18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6" t="b">
        <f>ISNUMBER(financials3[[#This Row],[Date]])</f>
        <v>1</v>
      </c>
      <c r="O322" s="8">
        <v>11</v>
      </c>
      <c r="P322" s="5" t="s">
        <v>31</v>
      </c>
      <c r="Q322" s="7" t="s">
        <v>15</v>
      </c>
      <c r="R322" s="5">
        <f t="shared" ref="R322:R385" si="5">COUNTIFS(A:A,A322,B:B,B322,C:C,C322,D:D,D322,E:E,E322,F:F,F322,G:G,G322,H:H,H322,I:I,I322,J:J,J322,K:K,K322,L:L,L322,M:M,M322,N:N,O322,O:O,P322,P:P,Q322)</f>
        <v>0</v>
      </c>
    </row>
    <row r="323" spans="1:18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6" t="b">
        <f>ISNUMBER(financials3[[#This Row],[Date]])</f>
        <v>1</v>
      </c>
      <c r="O323" s="8">
        <v>12</v>
      </c>
      <c r="P323" s="5" t="s">
        <v>32</v>
      </c>
      <c r="Q323" s="7" t="s">
        <v>15</v>
      </c>
      <c r="R323" s="5">
        <f t="shared" si="5"/>
        <v>0</v>
      </c>
    </row>
    <row r="324" spans="1:18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6" t="b">
        <f>ISNUMBER(financials3[[#This Row],[Date]])</f>
        <v>1</v>
      </c>
      <c r="O324" s="8">
        <v>4</v>
      </c>
      <c r="P324" s="5" t="s">
        <v>24</v>
      </c>
      <c r="Q324" s="7" t="s">
        <v>15</v>
      </c>
      <c r="R324" s="5">
        <f t="shared" si="5"/>
        <v>0</v>
      </c>
    </row>
    <row r="325" spans="1:18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6" t="b">
        <f>ISNUMBER(financials3[[#This Row],[Date]])</f>
        <v>1</v>
      </c>
      <c r="O325" s="8">
        <v>9</v>
      </c>
      <c r="P325" s="5" t="s">
        <v>29</v>
      </c>
      <c r="Q325" s="7" t="s">
        <v>14</v>
      </c>
      <c r="R325" s="5">
        <f t="shared" si="5"/>
        <v>0</v>
      </c>
    </row>
    <row r="326" spans="1:18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6" t="b">
        <f>ISNUMBER(financials3[[#This Row],[Date]])</f>
        <v>1</v>
      </c>
      <c r="O326" s="8">
        <v>12</v>
      </c>
      <c r="P326" s="5" t="s">
        <v>32</v>
      </c>
      <c r="Q326" s="7" t="s">
        <v>15</v>
      </c>
      <c r="R326" s="5">
        <f t="shared" si="5"/>
        <v>0</v>
      </c>
    </row>
    <row r="327" spans="1:18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6" t="b">
        <f>ISNUMBER(financials3[[#This Row],[Date]])</f>
        <v>1</v>
      </c>
      <c r="O327" s="8">
        <v>6</v>
      </c>
      <c r="P327" s="5" t="s">
        <v>26</v>
      </c>
      <c r="Q327" s="7" t="s">
        <v>15</v>
      </c>
      <c r="R327" s="5">
        <f t="shared" si="5"/>
        <v>0</v>
      </c>
    </row>
    <row r="328" spans="1:18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6" t="b">
        <f>ISNUMBER(financials3[[#This Row],[Date]])</f>
        <v>1</v>
      </c>
      <c r="O328" s="8">
        <v>3</v>
      </c>
      <c r="P328" s="5" t="s">
        <v>23</v>
      </c>
      <c r="Q328" s="7" t="s">
        <v>15</v>
      </c>
      <c r="R328" s="5">
        <f t="shared" si="5"/>
        <v>0</v>
      </c>
    </row>
    <row r="329" spans="1:18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6" t="b">
        <f>ISNUMBER(financials3[[#This Row],[Date]])</f>
        <v>1</v>
      </c>
      <c r="O329" s="8">
        <v>6</v>
      </c>
      <c r="P329" s="5" t="s">
        <v>26</v>
      </c>
      <c r="Q329" s="7" t="s">
        <v>15</v>
      </c>
      <c r="R329" s="5">
        <f t="shared" si="5"/>
        <v>0</v>
      </c>
    </row>
    <row r="330" spans="1:18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6" t="b">
        <f>ISNUMBER(financials3[[#This Row],[Date]])</f>
        <v>1</v>
      </c>
      <c r="O330" s="8">
        <v>10</v>
      </c>
      <c r="P330" s="5" t="s">
        <v>30</v>
      </c>
      <c r="Q330" s="7" t="s">
        <v>15</v>
      </c>
      <c r="R330" s="5">
        <f t="shared" si="5"/>
        <v>0</v>
      </c>
    </row>
    <row r="331" spans="1:18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6" t="b">
        <f>ISNUMBER(financials3[[#This Row],[Date]])</f>
        <v>1</v>
      </c>
      <c r="O331" s="8">
        <v>10</v>
      </c>
      <c r="P331" s="5" t="s">
        <v>30</v>
      </c>
      <c r="Q331" s="7" t="s">
        <v>15</v>
      </c>
      <c r="R331" s="5">
        <f t="shared" si="5"/>
        <v>0</v>
      </c>
    </row>
    <row r="332" spans="1:18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6" t="b">
        <f>ISNUMBER(financials3[[#This Row],[Date]])</f>
        <v>1</v>
      </c>
      <c r="O332" s="8">
        <v>10</v>
      </c>
      <c r="P332" s="5" t="s">
        <v>30</v>
      </c>
      <c r="Q332" s="7" t="s">
        <v>15</v>
      </c>
      <c r="R332" s="5">
        <f t="shared" si="5"/>
        <v>0</v>
      </c>
    </row>
    <row r="333" spans="1:18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6" t="b">
        <f>ISNUMBER(financials3[[#This Row],[Date]])</f>
        <v>1</v>
      </c>
      <c r="O333" s="8">
        <v>11</v>
      </c>
      <c r="P333" s="5" t="s">
        <v>31</v>
      </c>
      <c r="Q333" s="7" t="s">
        <v>14</v>
      </c>
      <c r="R333" s="5">
        <f t="shared" si="5"/>
        <v>0</v>
      </c>
    </row>
    <row r="334" spans="1:18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6" t="b">
        <f>ISNUMBER(financials3[[#This Row],[Date]])</f>
        <v>1</v>
      </c>
      <c r="O334" s="8">
        <v>5</v>
      </c>
      <c r="P334" s="5" t="s">
        <v>25</v>
      </c>
      <c r="Q334" s="7" t="s">
        <v>15</v>
      </c>
      <c r="R334" s="5">
        <f t="shared" si="5"/>
        <v>0</v>
      </c>
    </row>
    <row r="335" spans="1:18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6" t="b">
        <f>ISNUMBER(financials3[[#This Row],[Date]])</f>
        <v>1</v>
      </c>
      <c r="O335" s="8">
        <v>6</v>
      </c>
      <c r="P335" s="5" t="s">
        <v>26</v>
      </c>
      <c r="Q335" s="7" t="s">
        <v>15</v>
      </c>
      <c r="R335" s="5">
        <f t="shared" si="5"/>
        <v>0</v>
      </c>
    </row>
    <row r="336" spans="1:18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6" t="b">
        <f>ISNUMBER(financials3[[#This Row],[Date]])</f>
        <v>1</v>
      </c>
      <c r="O336" s="8">
        <v>7</v>
      </c>
      <c r="P336" s="5" t="s">
        <v>27</v>
      </c>
      <c r="Q336" s="7" t="s">
        <v>15</v>
      </c>
      <c r="R336" s="5">
        <f t="shared" si="5"/>
        <v>0</v>
      </c>
    </row>
    <row r="337" spans="1:18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6" t="b">
        <f>ISNUMBER(financials3[[#This Row],[Date]])</f>
        <v>1</v>
      </c>
      <c r="O337" s="8">
        <v>8</v>
      </c>
      <c r="P337" s="5" t="s">
        <v>28</v>
      </c>
      <c r="Q337" s="7" t="s">
        <v>15</v>
      </c>
      <c r="R337" s="5">
        <f t="shared" si="5"/>
        <v>0</v>
      </c>
    </row>
    <row r="338" spans="1:18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6" t="b">
        <f>ISNUMBER(financials3[[#This Row],[Date]])</f>
        <v>1</v>
      </c>
      <c r="O338" s="8">
        <v>9</v>
      </c>
      <c r="P338" s="5" t="s">
        <v>29</v>
      </c>
      <c r="Q338" s="7" t="s">
        <v>14</v>
      </c>
      <c r="R338" s="5">
        <f t="shared" si="5"/>
        <v>0</v>
      </c>
    </row>
    <row r="339" spans="1:18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6" t="b">
        <f>ISNUMBER(financials3[[#This Row],[Date]])</f>
        <v>1</v>
      </c>
      <c r="O339" s="8">
        <v>9</v>
      </c>
      <c r="P339" s="5" t="s">
        <v>29</v>
      </c>
      <c r="Q339" s="7" t="s">
        <v>15</v>
      </c>
      <c r="R339" s="5">
        <f t="shared" si="5"/>
        <v>0</v>
      </c>
    </row>
    <row r="340" spans="1:18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6" t="b">
        <f>ISNUMBER(financials3[[#This Row],[Date]])</f>
        <v>1</v>
      </c>
      <c r="O340" s="8">
        <v>9</v>
      </c>
      <c r="P340" s="5" t="s">
        <v>29</v>
      </c>
      <c r="Q340" s="7" t="s">
        <v>14</v>
      </c>
      <c r="R340" s="5">
        <f t="shared" si="5"/>
        <v>0</v>
      </c>
    </row>
    <row r="341" spans="1:18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6" t="b">
        <f>ISNUMBER(financials3[[#This Row],[Date]])</f>
        <v>1</v>
      </c>
      <c r="O341" s="8">
        <v>11</v>
      </c>
      <c r="P341" s="5" t="s">
        <v>31</v>
      </c>
      <c r="Q341" s="7" t="s">
        <v>14</v>
      </c>
      <c r="R341" s="5">
        <f t="shared" si="5"/>
        <v>0</v>
      </c>
    </row>
    <row r="342" spans="1:18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6" t="b">
        <f>ISNUMBER(financials3[[#This Row],[Date]])</f>
        <v>1</v>
      </c>
      <c r="O342" s="8">
        <v>11</v>
      </c>
      <c r="P342" s="5" t="s">
        <v>31</v>
      </c>
      <c r="Q342" s="7" t="s">
        <v>14</v>
      </c>
      <c r="R342" s="5">
        <f t="shared" si="5"/>
        <v>0</v>
      </c>
    </row>
    <row r="343" spans="1:18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6" t="b">
        <f>ISNUMBER(financials3[[#This Row],[Date]])</f>
        <v>1</v>
      </c>
      <c r="O343" s="8">
        <v>12</v>
      </c>
      <c r="P343" s="5" t="s">
        <v>32</v>
      </c>
      <c r="Q343" s="7" t="s">
        <v>14</v>
      </c>
      <c r="R343" s="5">
        <f t="shared" si="5"/>
        <v>0</v>
      </c>
    </row>
    <row r="344" spans="1:18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6" t="b">
        <f>ISNUMBER(financials3[[#This Row],[Date]])</f>
        <v>1</v>
      </c>
      <c r="O344" s="8">
        <v>7</v>
      </c>
      <c r="P344" s="5" t="s">
        <v>27</v>
      </c>
      <c r="Q344" s="7" t="s">
        <v>15</v>
      </c>
      <c r="R344" s="5">
        <f t="shared" si="5"/>
        <v>0</v>
      </c>
    </row>
    <row r="345" spans="1:18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6" t="b">
        <f>ISNUMBER(financials3[[#This Row],[Date]])</f>
        <v>1</v>
      </c>
      <c r="O345" s="8">
        <v>8</v>
      </c>
      <c r="P345" s="5" t="s">
        <v>28</v>
      </c>
      <c r="Q345" s="7" t="s">
        <v>15</v>
      </c>
      <c r="R345" s="5">
        <f t="shared" si="5"/>
        <v>0</v>
      </c>
    </row>
    <row r="346" spans="1:18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6" t="b">
        <f>ISNUMBER(financials3[[#This Row],[Date]])</f>
        <v>1</v>
      </c>
      <c r="O346" s="8">
        <v>9</v>
      </c>
      <c r="P346" s="5" t="s">
        <v>29</v>
      </c>
      <c r="Q346" s="7" t="s">
        <v>15</v>
      </c>
      <c r="R346" s="5">
        <f t="shared" si="5"/>
        <v>0</v>
      </c>
    </row>
    <row r="347" spans="1:18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6" t="b">
        <f>ISNUMBER(financials3[[#This Row],[Date]])</f>
        <v>1</v>
      </c>
      <c r="O347" s="8">
        <v>10</v>
      </c>
      <c r="P347" s="5" t="s">
        <v>30</v>
      </c>
      <c r="Q347" s="7" t="s">
        <v>15</v>
      </c>
      <c r="R347" s="5">
        <f t="shared" si="5"/>
        <v>0</v>
      </c>
    </row>
    <row r="348" spans="1:18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6" t="b">
        <f>ISNUMBER(financials3[[#This Row],[Date]])</f>
        <v>1</v>
      </c>
      <c r="O348" s="8">
        <v>12</v>
      </c>
      <c r="P348" s="5" t="s">
        <v>32</v>
      </c>
      <c r="Q348" s="7" t="s">
        <v>14</v>
      </c>
      <c r="R348" s="5">
        <f t="shared" si="5"/>
        <v>0</v>
      </c>
    </row>
    <row r="349" spans="1:18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6" t="b">
        <f>ISNUMBER(financials3[[#This Row],[Date]])</f>
        <v>1</v>
      </c>
      <c r="O349" s="8">
        <v>12</v>
      </c>
      <c r="P349" s="5" t="s">
        <v>32</v>
      </c>
      <c r="Q349" s="7" t="s">
        <v>15</v>
      </c>
      <c r="R349" s="5">
        <f t="shared" si="5"/>
        <v>0</v>
      </c>
    </row>
    <row r="350" spans="1:18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6" t="b">
        <f>ISNUMBER(financials3[[#This Row],[Date]])</f>
        <v>1</v>
      </c>
      <c r="O350" s="8">
        <v>12</v>
      </c>
      <c r="P350" s="5" t="s">
        <v>32</v>
      </c>
      <c r="Q350" s="7" t="s">
        <v>14</v>
      </c>
      <c r="R350" s="5">
        <f t="shared" si="5"/>
        <v>0</v>
      </c>
    </row>
    <row r="351" spans="1:18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6" t="b">
        <f>ISNUMBER(financials3[[#This Row],[Date]])</f>
        <v>1</v>
      </c>
      <c r="O351" s="8">
        <v>1</v>
      </c>
      <c r="P351" s="5" t="s">
        <v>21</v>
      </c>
      <c r="Q351" s="7" t="s">
        <v>15</v>
      </c>
      <c r="R351" s="5">
        <f t="shared" si="5"/>
        <v>0</v>
      </c>
    </row>
    <row r="352" spans="1:18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6" t="b">
        <f>ISNUMBER(financials3[[#This Row],[Date]])</f>
        <v>1</v>
      </c>
      <c r="O352" s="8">
        <v>2</v>
      </c>
      <c r="P352" s="5" t="s">
        <v>22</v>
      </c>
      <c r="Q352" s="7" t="s">
        <v>15</v>
      </c>
      <c r="R352" s="5">
        <f t="shared" si="5"/>
        <v>0</v>
      </c>
    </row>
    <row r="353" spans="1:18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6" t="b">
        <f>ISNUMBER(financials3[[#This Row],[Date]])</f>
        <v>1</v>
      </c>
      <c r="O353" s="8">
        <v>2</v>
      </c>
      <c r="P353" s="5" t="s">
        <v>22</v>
      </c>
      <c r="Q353" s="7" t="s">
        <v>15</v>
      </c>
      <c r="R353" s="5">
        <f t="shared" si="5"/>
        <v>0</v>
      </c>
    </row>
    <row r="354" spans="1:18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6" t="b">
        <f>ISNUMBER(financials3[[#This Row],[Date]])</f>
        <v>1</v>
      </c>
      <c r="O354" s="8">
        <v>5</v>
      </c>
      <c r="P354" s="5" t="s">
        <v>25</v>
      </c>
      <c r="Q354" s="7" t="s">
        <v>15</v>
      </c>
      <c r="R354" s="5">
        <f t="shared" si="5"/>
        <v>0</v>
      </c>
    </row>
    <row r="355" spans="1:18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6" t="b">
        <f>ISNUMBER(financials3[[#This Row],[Date]])</f>
        <v>1</v>
      </c>
      <c r="O355" s="8">
        <v>9</v>
      </c>
      <c r="P355" s="5" t="s">
        <v>29</v>
      </c>
      <c r="Q355" s="7" t="s">
        <v>15</v>
      </c>
      <c r="R355" s="5">
        <f t="shared" si="5"/>
        <v>0</v>
      </c>
    </row>
    <row r="356" spans="1:18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6" t="b">
        <f>ISNUMBER(financials3[[#This Row],[Date]])</f>
        <v>1</v>
      </c>
      <c r="O356" s="8">
        <v>9</v>
      </c>
      <c r="P356" s="5" t="s">
        <v>29</v>
      </c>
      <c r="Q356" s="7" t="s">
        <v>14</v>
      </c>
      <c r="R356" s="5">
        <f t="shared" si="5"/>
        <v>0</v>
      </c>
    </row>
    <row r="357" spans="1:18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6" t="b">
        <f>ISNUMBER(financials3[[#This Row],[Date]])</f>
        <v>1</v>
      </c>
      <c r="O357" s="8">
        <v>11</v>
      </c>
      <c r="P357" s="5" t="s">
        <v>31</v>
      </c>
      <c r="Q357" s="7" t="s">
        <v>15</v>
      </c>
      <c r="R357" s="5">
        <f t="shared" si="5"/>
        <v>0</v>
      </c>
    </row>
    <row r="358" spans="1:18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6" t="b">
        <f>ISNUMBER(financials3[[#This Row],[Date]])</f>
        <v>1</v>
      </c>
      <c r="O358" s="8">
        <v>12</v>
      </c>
      <c r="P358" s="5" t="s">
        <v>32</v>
      </c>
      <c r="Q358" s="7" t="s">
        <v>15</v>
      </c>
      <c r="R358" s="5">
        <f t="shared" si="5"/>
        <v>0</v>
      </c>
    </row>
    <row r="359" spans="1:18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6" t="b">
        <f>ISNUMBER(financials3[[#This Row],[Date]])</f>
        <v>1</v>
      </c>
      <c r="O359" s="8">
        <v>2</v>
      </c>
      <c r="P359" s="5" t="s">
        <v>22</v>
      </c>
      <c r="Q359" s="7" t="s">
        <v>15</v>
      </c>
      <c r="R359" s="5">
        <f t="shared" si="5"/>
        <v>0</v>
      </c>
    </row>
    <row r="360" spans="1:18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6" t="b">
        <f>ISNUMBER(financials3[[#This Row],[Date]])</f>
        <v>1</v>
      </c>
      <c r="O360" s="8">
        <v>6</v>
      </c>
      <c r="P360" s="5" t="s">
        <v>26</v>
      </c>
      <c r="Q360" s="7" t="s">
        <v>15</v>
      </c>
      <c r="R360" s="5">
        <f t="shared" si="5"/>
        <v>0</v>
      </c>
    </row>
    <row r="361" spans="1:18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6" t="b">
        <f>ISNUMBER(financials3[[#This Row],[Date]])</f>
        <v>1</v>
      </c>
      <c r="O361" s="8">
        <v>5</v>
      </c>
      <c r="P361" s="5" t="s">
        <v>25</v>
      </c>
      <c r="Q361" s="7" t="s">
        <v>15</v>
      </c>
      <c r="R361" s="5">
        <f t="shared" si="5"/>
        <v>0</v>
      </c>
    </row>
    <row r="362" spans="1:18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6" t="b">
        <f>ISNUMBER(financials3[[#This Row],[Date]])</f>
        <v>1</v>
      </c>
      <c r="O362" s="8">
        <v>6</v>
      </c>
      <c r="P362" s="5" t="s">
        <v>26</v>
      </c>
      <c r="Q362" s="7" t="s">
        <v>15</v>
      </c>
      <c r="R362" s="5">
        <f t="shared" si="5"/>
        <v>0</v>
      </c>
    </row>
    <row r="363" spans="1:18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6" t="b">
        <f>ISNUMBER(financials3[[#This Row],[Date]])</f>
        <v>1</v>
      </c>
      <c r="O363" s="8">
        <v>8</v>
      </c>
      <c r="P363" s="5" t="s">
        <v>28</v>
      </c>
      <c r="Q363" s="7" t="s">
        <v>15</v>
      </c>
      <c r="R363" s="5">
        <f t="shared" si="5"/>
        <v>0</v>
      </c>
    </row>
    <row r="364" spans="1:18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6" t="b">
        <f>ISNUMBER(financials3[[#This Row],[Date]])</f>
        <v>1</v>
      </c>
      <c r="O364" s="8">
        <v>11</v>
      </c>
      <c r="P364" s="5" t="s">
        <v>31</v>
      </c>
      <c r="Q364" s="7" t="s">
        <v>15</v>
      </c>
      <c r="R364" s="5">
        <f t="shared" si="5"/>
        <v>0</v>
      </c>
    </row>
    <row r="365" spans="1:18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6" t="b">
        <f>ISNUMBER(financials3[[#This Row],[Date]])</f>
        <v>1</v>
      </c>
      <c r="O365" s="8">
        <v>12</v>
      </c>
      <c r="P365" s="5" t="s">
        <v>32</v>
      </c>
      <c r="Q365" s="7" t="s">
        <v>15</v>
      </c>
      <c r="R365" s="5">
        <f t="shared" si="5"/>
        <v>0</v>
      </c>
    </row>
    <row r="366" spans="1:18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6" t="b">
        <f>ISNUMBER(financials3[[#This Row],[Date]])</f>
        <v>1</v>
      </c>
      <c r="O366" s="8">
        <v>3</v>
      </c>
      <c r="P366" s="5" t="s">
        <v>23</v>
      </c>
      <c r="Q366" s="7" t="s">
        <v>15</v>
      </c>
      <c r="R366" s="5">
        <f t="shared" si="5"/>
        <v>0</v>
      </c>
    </row>
    <row r="367" spans="1:18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6" t="b">
        <f>ISNUMBER(financials3[[#This Row],[Date]])</f>
        <v>1</v>
      </c>
      <c r="O367" s="8">
        <v>6</v>
      </c>
      <c r="P367" s="5" t="s">
        <v>26</v>
      </c>
      <c r="Q367" s="7" t="s">
        <v>15</v>
      </c>
      <c r="R367" s="5">
        <f t="shared" si="5"/>
        <v>0</v>
      </c>
    </row>
    <row r="368" spans="1:18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6" t="b">
        <f>ISNUMBER(financials3[[#This Row],[Date]])</f>
        <v>1</v>
      </c>
      <c r="O368" s="8">
        <v>7</v>
      </c>
      <c r="P368" s="5" t="s">
        <v>27</v>
      </c>
      <c r="Q368" s="7" t="s">
        <v>15</v>
      </c>
      <c r="R368" s="5">
        <f t="shared" si="5"/>
        <v>0</v>
      </c>
    </row>
    <row r="369" spans="1:18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6" t="b">
        <f>ISNUMBER(financials3[[#This Row],[Date]])</f>
        <v>1</v>
      </c>
      <c r="O369" s="8">
        <v>8</v>
      </c>
      <c r="P369" s="5" t="s">
        <v>28</v>
      </c>
      <c r="Q369" s="7" t="s">
        <v>15</v>
      </c>
      <c r="R369" s="5">
        <f t="shared" si="5"/>
        <v>0</v>
      </c>
    </row>
    <row r="370" spans="1:18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6" t="b">
        <f>ISNUMBER(financials3[[#This Row],[Date]])</f>
        <v>1</v>
      </c>
      <c r="O370" s="8">
        <v>9</v>
      </c>
      <c r="P370" s="5" t="s">
        <v>29</v>
      </c>
      <c r="Q370" s="7" t="s">
        <v>14</v>
      </c>
      <c r="R370" s="5">
        <f t="shared" si="5"/>
        <v>0</v>
      </c>
    </row>
    <row r="371" spans="1:18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6" t="b">
        <f>ISNUMBER(financials3[[#This Row],[Date]])</f>
        <v>1</v>
      </c>
      <c r="O371" s="8">
        <v>12</v>
      </c>
      <c r="P371" s="5" t="s">
        <v>32</v>
      </c>
      <c r="Q371" s="7" t="s">
        <v>15</v>
      </c>
      <c r="R371" s="5">
        <f t="shared" si="5"/>
        <v>0</v>
      </c>
    </row>
    <row r="372" spans="1:18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6" t="b">
        <f>ISNUMBER(financials3[[#This Row],[Date]])</f>
        <v>1</v>
      </c>
      <c r="O372" s="8">
        <v>3</v>
      </c>
      <c r="P372" s="5" t="s">
        <v>23</v>
      </c>
      <c r="Q372" s="7" t="s">
        <v>15</v>
      </c>
      <c r="R372" s="5">
        <f t="shared" si="5"/>
        <v>0</v>
      </c>
    </row>
    <row r="373" spans="1:18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6" t="b">
        <f>ISNUMBER(financials3[[#This Row],[Date]])</f>
        <v>1</v>
      </c>
      <c r="O373" s="8">
        <v>4</v>
      </c>
      <c r="P373" s="5" t="s">
        <v>24</v>
      </c>
      <c r="Q373" s="7" t="s">
        <v>15</v>
      </c>
      <c r="R373" s="5">
        <f t="shared" si="5"/>
        <v>0</v>
      </c>
    </row>
    <row r="374" spans="1:18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6" t="b">
        <f>ISNUMBER(financials3[[#This Row],[Date]])</f>
        <v>1</v>
      </c>
      <c r="O374" s="8">
        <v>5</v>
      </c>
      <c r="P374" s="5" t="s">
        <v>25</v>
      </c>
      <c r="Q374" s="7" t="s">
        <v>15</v>
      </c>
      <c r="R374" s="5">
        <f t="shared" si="5"/>
        <v>0</v>
      </c>
    </row>
    <row r="375" spans="1:18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6" t="b">
        <f>ISNUMBER(financials3[[#This Row],[Date]])</f>
        <v>1</v>
      </c>
      <c r="O375" s="8">
        <v>6</v>
      </c>
      <c r="P375" s="5" t="s">
        <v>26</v>
      </c>
      <c r="Q375" s="7" t="s">
        <v>15</v>
      </c>
      <c r="R375" s="5">
        <f t="shared" si="5"/>
        <v>0</v>
      </c>
    </row>
    <row r="376" spans="1:18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6" t="b">
        <f>ISNUMBER(financials3[[#This Row],[Date]])</f>
        <v>1</v>
      </c>
      <c r="O376" s="8">
        <v>6</v>
      </c>
      <c r="P376" s="5" t="s">
        <v>26</v>
      </c>
      <c r="Q376" s="7" t="s">
        <v>15</v>
      </c>
      <c r="R376" s="5">
        <f t="shared" si="5"/>
        <v>0</v>
      </c>
    </row>
    <row r="377" spans="1:18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6" t="b">
        <f>ISNUMBER(financials3[[#This Row],[Date]])</f>
        <v>1</v>
      </c>
      <c r="O377" s="8">
        <v>8</v>
      </c>
      <c r="P377" s="5" t="s">
        <v>28</v>
      </c>
      <c r="Q377" s="7" t="s">
        <v>15</v>
      </c>
      <c r="R377" s="5">
        <f t="shared" si="5"/>
        <v>0</v>
      </c>
    </row>
    <row r="378" spans="1:18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6" t="b">
        <f>ISNUMBER(financials3[[#This Row],[Date]])</f>
        <v>1</v>
      </c>
      <c r="O378" s="8">
        <v>8</v>
      </c>
      <c r="P378" s="5" t="s">
        <v>28</v>
      </c>
      <c r="Q378" s="7" t="s">
        <v>15</v>
      </c>
      <c r="R378" s="5">
        <f t="shared" si="5"/>
        <v>0</v>
      </c>
    </row>
    <row r="379" spans="1:18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6" t="b">
        <f>ISNUMBER(financials3[[#This Row],[Date]])</f>
        <v>1</v>
      </c>
      <c r="O379" s="8">
        <v>9</v>
      </c>
      <c r="P379" s="5" t="s">
        <v>29</v>
      </c>
      <c r="Q379" s="7" t="s">
        <v>14</v>
      </c>
      <c r="R379" s="5">
        <f t="shared" si="5"/>
        <v>0</v>
      </c>
    </row>
    <row r="380" spans="1:18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6" t="b">
        <f>ISNUMBER(financials3[[#This Row],[Date]])</f>
        <v>1</v>
      </c>
      <c r="O380" s="8">
        <v>9</v>
      </c>
      <c r="P380" s="5" t="s">
        <v>29</v>
      </c>
      <c r="Q380" s="7" t="s">
        <v>15</v>
      </c>
      <c r="R380" s="5">
        <f t="shared" si="5"/>
        <v>0</v>
      </c>
    </row>
    <row r="381" spans="1:18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6" t="b">
        <f>ISNUMBER(financials3[[#This Row],[Date]])</f>
        <v>1</v>
      </c>
      <c r="O381" s="8">
        <v>9</v>
      </c>
      <c r="P381" s="5" t="s">
        <v>29</v>
      </c>
      <c r="Q381" s="7" t="s">
        <v>15</v>
      </c>
      <c r="R381" s="5">
        <f t="shared" si="5"/>
        <v>0</v>
      </c>
    </row>
    <row r="382" spans="1:18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6" t="b">
        <f>ISNUMBER(financials3[[#This Row],[Date]])</f>
        <v>1</v>
      </c>
      <c r="O382" s="8">
        <v>11</v>
      </c>
      <c r="P382" s="5" t="s">
        <v>31</v>
      </c>
      <c r="Q382" s="7" t="s">
        <v>14</v>
      </c>
      <c r="R382" s="5">
        <f t="shared" si="5"/>
        <v>0</v>
      </c>
    </row>
    <row r="383" spans="1:18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6" t="b">
        <f>ISNUMBER(financials3[[#This Row],[Date]])</f>
        <v>1</v>
      </c>
      <c r="O383" s="8">
        <v>12</v>
      </c>
      <c r="P383" s="5" t="s">
        <v>32</v>
      </c>
      <c r="Q383" s="7" t="s">
        <v>14</v>
      </c>
      <c r="R383" s="5">
        <f t="shared" si="5"/>
        <v>0</v>
      </c>
    </row>
    <row r="384" spans="1:18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6" t="b">
        <f>ISNUMBER(financials3[[#This Row],[Date]])</f>
        <v>1</v>
      </c>
      <c r="O384" s="8">
        <v>12</v>
      </c>
      <c r="P384" s="5" t="s">
        <v>32</v>
      </c>
      <c r="Q384" s="7" t="s">
        <v>15</v>
      </c>
      <c r="R384" s="5">
        <f t="shared" si="5"/>
        <v>0</v>
      </c>
    </row>
    <row r="385" spans="1:18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6" t="b">
        <f>ISNUMBER(financials3[[#This Row],[Date]])</f>
        <v>1</v>
      </c>
      <c r="O385" s="8">
        <v>3</v>
      </c>
      <c r="P385" s="5" t="s">
        <v>23</v>
      </c>
      <c r="Q385" s="7" t="s">
        <v>15</v>
      </c>
      <c r="R385" s="5">
        <f t="shared" si="5"/>
        <v>0</v>
      </c>
    </row>
    <row r="386" spans="1:18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6" t="b">
        <f>ISNUMBER(financials3[[#This Row],[Date]])</f>
        <v>1</v>
      </c>
      <c r="O386" s="8">
        <v>6</v>
      </c>
      <c r="P386" s="5" t="s">
        <v>26</v>
      </c>
      <c r="Q386" s="7" t="s">
        <v>15</v>
      </c>
      <c r="R386" s="5">
        <f t="shared" ref="R386:R449" si="6">COUNTIFS(A:A,A386,B:B,B386,C:C,C386,D:D,D386,E:E,E386,F:F,F386,G:G,G386,H:H,H386,I:I,I386,J:J,J386,K:K,K386,L:L,L386,M:M,M386,N:N,O386,O:O,P386,P:P,Q386)</f>
        <v>0</v>
      </c>
    </row>
    <row r="387" spans="1:18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6" t="b">
        <f>ISNUMBER(financials3[[#This Row],[Date]])</f>
        <v>1</v>
      </c>
      <c r="O387" s="8">
        <v>6</v>
      </c>
      <c r="P387" s="5" t="s">
        <v>26</v>
      </c>
      <c r="Q387" s="7" t="s">
        <v>15</v>
      </c>
      <c r="R387" s="5">
        <f t="shared" si="6"/>
        <v>0</v>
      </c>
    </row>
    <row r="388" spans="1:18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6" t="b">
        <f>ISNUMBER(financials3[[#This Row],[Date]])</f>
        <v>1</v>
      </c>
      <c r="O388" s="8">
        <v>11</v>
      </c>
      <c r="P388" s="5" t="s">
        <v>31</v>
      </c>
      <c r="Q388" s="7" t="s">
        <v>14</v>
      </c>
      <c r="R388" s="5">
        <f t="shared" si="6"/>
        <v>0</v>
      </c>
    </row>
    <row r="389" spans="1:18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6" t="b">
        <f>ISNUMBER(financials3[[#This Row],[Date]])</f>
        <v>1</v>
      </c>
      <c r="O389" s="8">
        <v>12</v>
      </c>
      <c r="P389" s="5" t="s">
        <v>32</v>
      </c>
      <c r="Q389" s="7" t="s">
        <v>15</v>
      </c>
      <c r="R389" s="5">
        <f t="shared" si="6"/>
        <v>0</v>
      </c>
    </row>
    <row r="390" spans="1:18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6" t="b">
        <f>ISNUMBER(financials3[[#This Row],[Date]])</f>
        <v>1</v>
      </c>
      <c r="O390" s="8">
        <v>4</v>
      </c>
      <c r="P390" s="5" t="s">
        <v>24</v>
      </c>
      <c r="Q390" s="7" t="s">
        <v>15</v>
      </c>
      <c r="R390" s="5">
        <f t="shared" si="6"/>
        <v>0</v>
      </c>
    </row>
    <row r="391" spans="1:18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6" t="b">
        <f>ISNUMBER(financials3[[#This Row],[Date]])</f>
        <v>1</v>
      </c>
      <c r="O391" s="8">
        <v>6</v>
      </c>
      <c r="P391" s="5" t="s">
        <v>26</v>
      </c>
      <c r="Q391" s="7" t="s">
        <v>15</v>
      </c>
      <c r="R391" s="5">
        <f t="shared" si="6"/>
        <v>0</v>
      </c>
    </row>
    <row r="392" spans="1:18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6" t="b">
        <f>ISNUMBER(financials3[[#This Row],[Date]])</f>
        <v>1</v>
      </c>
      <c r="O392" s="8">
        <v>8</v>
      </c>
      <c r="P392" s="5" t="s">
        <v>28</v>
      </c>
      <c r="Q392" s="7" t="s">
        <v>15</v>
      </c>
      <c r="R392" s="5">
        <f t="shared" si="6"/>
        <v>0</v>
      </c>
    </row>
    <row r="393" spans="1:18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6" t="b">
        <f>ISNUMBER(financials3[[#This Row],[Date]])</f>
        <v>1</v>
      </c>
      <c r="O393" s="8">
        <v>8</v>
      </c>
      <c r="P393" s="5" t="s">
        <v>28</v>
      </c>
      <c r="Q393" s="7" t="s">
        <v>15</v>
      </c>
      <c r="R393" s="5">
        <f t="shared" si="6"/>
        <v>0</v>
      </c>
    </row>
    <row r="394" spans="1:18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6" t="b">
        <f>ISNUMBER(financials3[[#This Row],[Date]])</f>
        <v>1</v>
      </c>
      <c r="O394" s="8">
        <v>9</v>
      </c>
      <c r="P394" s="5" t="s">
        <v>29</v>
      </c>
      <c r="Q394" s="7" t="s">
        <v>15</v>
      </c>
      <c r="R394" s="5">
        <f t="shared" si="6"/>
        <v>0</v>
      </c>
    </row>
    <row r="395" spans="1:18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6" t="b">
        <f>ISNUMBER(financials3[[#This Row],[Date]])</f>
        <v>1</v>
      </c>
      <c r="O395" s="8">
        <v>12</v>
      </c>
      <c r="P395" s="5" t="s">
        <v>32</v>
      </c>
      <c r="Q395" s="7" t="s">
        <v>14</v>
      </c>
      <c r="R395" s="5">
        <f t="shared" si="6"/>
        <v>0</v>
      </c>
    </row>
    <row r="396" spans="1:18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6" t="b">
        <f>ISNUMBER(financials3[[#This Row],[Date]])</f>
        <v>1</v>
      </c>
      <c r="O396" s="8">
        <v>6</v>
      </c>
      <c r="P396" s="5" t="s">
        <v>26</v>
      </c>
      <c r="Q396" s="7" t="s">
        <v>15</v>
      </c>
      <c r="R396" s="5">
        <f t="shared" si="6"/>
        <v>0</v>
      </c>
    </row>
    <row r="397" spans="1:18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6" t="b">
        <f>ISNUMBER(financials3[[#This Row],[Date]])</f>
        <v>1</v>
      </c>
      <c r="O397" s="8">
        <v>6</v>
      </c>
      <c r="P397" s="5" t="s">
        <v>26</v>
      </c>
      <c r="Q397" s="7" t="s">
        <v>15</v>
      </c>
      <c r="R397" s="5">
        <f t="shared" si="6"/>
        <v>0</v>
      </c>
    </row>
    <row r="398" spans="1:18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6" t="b">
        <f>ISNUMBER(financials3[[#This Row],[Date]])</f>
        <v>1</v>
      </c>
      <c r="O398" s="8">
        <v>6</v>
      </c>
      <c r="P398" s="5" t="s">
        <v>26</v>
      </c>
      <c r="Q398" s="7" t="s">
        <v>15</v>
      </c>
      <c r="R398" s="5">
        <f t="shared" si="6"/>
        <v>0</v>
      </c>
    </row>
    <row r="399" spans="1:18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6" t="b">
        <f>ISNUMBER(financials3[[#This Row],[Date]])</f>
        <v>1</v>
      </c>
      <c r="O399" s="8">
        <v>6</v>
      </c>
      <c r="P399" s="5" t="s">
        <v>26</v>
      </c>
      <c r="Q399" s="7" t="s">
        <v>15</v>
      </c>
      <c r="R399" s="5">
        <f t="shared" si="6"/>
        <v>0</v>
      </c>
    </row>
    <row r="400" spans="1:18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6" t="b">
        <f>ISNUMBER(financials3[[#This Row],[Date]])</f>
        <v>1</v>
      </c>
      <c r="O400" s="8">
        <v>11</v>
      </c>
      <c r="P400" s="5" t="s">
        <v>31</v>
      </c>
      <c r="Q400" s="7" t="s">
        <v>15</v>
      </c>
      <c r="R400" s="5">
        <f t="shared" si="6"/>
        <v>0</v>
      </c>
    </row>
    <row r="401" spans="1:18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6" t="b">
        <f>ISNUMBER(financials3[[#This Row],[Date]])</f>
        <v>1</v>
      </c>
      <c r="O401" s="8">
        <v>12</v>
      </c>
      <c r="P401" s="5" t="s">
        <v>32</v>
      </c>
      <c r="Q401" s="7" t="s">
        <v>15</v>
      </c>
      <c r="R401" s="5">
        <f t="shared" si="6"/>
        <v>0</v>
      </c>
    </row>
    <row r="402" spans="1:18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6" t="b">
        <f>ISNUMBER(financials3[[#This Row],[Date]])</f>
        <v>1</v>
      </c>
      <c r="O402" s="8">
        <v>12</v>
      </c>
      <c r="P402" s="5" t="s">
        <v>32</v>
      </c>
      <c r="Q402" s="7" t="s">
        <v>14</v>
      </c>
      <c r="R402" s="5">
        <f t="shared" si="6"/>
        <v>0</v>
      </c>
    </row>
    <row r="403" spans="1:18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6" t="b">
        <f>ISNUMBER(financials3[[#This Row],[Date]])</f>
        <v>1</v>
      </c>
      <c r="O403" s="8">
        <v>12</v>
      </c>
      <c r="P403" s="5" t="s">
        <v>32</v>
      </c>
      <c r="Q403" s="7" t="s">
        <v>15</v>
      </c>
      <c r="R403" s="5">
        <f t="shared" si="6"/>
        <v>0</v>
      </c>
    </row>
    <row r="404" spans="1:18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6" t="b">
        <f>ISNUMBER(financials3[[#This Row],[Date]])</f>
        <v>1</v>
      </c>
      <c r="O404" s="8">
        <v>7</v>
      </c>
      <c r="P404" s="5" t="s">
        <v>27</v>
      </c>
      <c r="Q404" s="7" t="s">
        <v>15</v>
      </c>
      <c r="R404" s="5">
        <f t="shared" si="6"/>
        <v>0</v>
      </c>
    </row>
    <row r="405" spans="1:18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6" t="b">
        <f>ISNUMBER(financials3[[#This Row],[Date]])</f>
        <v>1</v>
      </c>
      <c r="O405" s="8">
        <v>6</v>
      </c>
      <c r="P405" s="5" t="s">
        <v>26</v>
      </c>
      <c r="Q405" s="7" t="s">
        <v>15</v>
      </c>
      <c r="R405" s="5">
        <f t="shared" si="6"/>
        <v>0</v>
      </c>
    </row>
    <row r="406" spans="1:18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6" t="b">
        <f>ISNUMBER(financials3[[#This Row],[Date]])</f>
        <v>1</v>
      </c>
      <c r="O406" s="8">
        <v>10</v>
      </c>
      <c r="P406" s="5" t="s">
        <v>30</v>
      </c>
      <c r="Q406" s="7" t="s">
        <v>14</v>
      </c>
      <c r="R406" s="5">
        <f t="shared" si="6"/>
        <v>0</v>
      </c>
    </row>
    <row r="407" spans="1:18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6" t="b">
        <f>ISNUMBER(financials3[[#This Row],[Date]])</f>
        <v>1</v>
      </c>
      <c r="O407" s="8">
        <v>4</v>
      </c>
      <c r="P407" s="5" t="s">
        <v>24</v>
      </c>
      <c r="Q407" s="7" t="s">
        <v>15</v>
      </c>
      <c r="R407" s="5">
        <f t="shared" si="6"/>
        <v>0</v>
      </c>
    </row>
    <row r="408" spans="1:18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6" t="b">
        <f>ISNUMBER(financials3[[#This Row],[Date]])</f>
        <v>1</v>
      </c>
      <c r="O408" s="8">
        <v>5</v>
      </c>
      <c r="P408" s="5" t="s">
        <v>25</v>
      </c>
      <c r="Q408" s="7" t="s">
        <v>15</v>
      </c>
      <c r="R408" s="5">
        <f t="shared" si="6"/>
        <v>0</v>
      </c>
    </row>
    <row r="409" spans="1:18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6" t="b">
        <f>ISNUMBER(financials3[[#This Row],[Date]])</f>
        <v>1</v>
      </c>
      <c r="O409" s="8">
        <v>9</v>
      </c>
      <c r="P409" s="5" t="s">
        <v>29</v>
      </c>
      <c r="Q409" s="7" t="s">
        <v>14</v>
      </c>
      <c r="R409" s="5">
        <f t="shared" si="6"/>
        <v>0</v>
      </c>
    </row>
    <row r="410" spans="1:18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6" t="b">
        <f>ISNUMBER(financials3[[#This Row],[Date]])</f>
        <v>1</v>
      </c>
      <c r="O410" s="8">
        <v>11</v>
      </c>
      <c r="P410" s="5" t="s">
        <v>31</v>
      </c>
      <c r="Q410" s="7" t="s">
        <v>15</v>
      </c>
      <c r="R410" s="5">
        <f t="shared" si="6"/>
        <v>0</v>
      </c>
    </row>
    <row r="411" spans="1:18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6" t="b">
        <f>ISNUMBER(financials3[[#This Row],[Date]])</f>
        <v>1</v>
      </c>
      <c r="O411" s="8">
        <v>11</v>
      </c>
      <c r="P411" s="5" t="s">
        <v>31</v>
      </c>
      <c r="Q411" s="7" t="s">
        <v>14</v>
      </c>
      <c r="R411" s="5">
        <f t="shared" si="6"/>
        <v>0</v>
      </c>
    </row>
    <row r="412" spans="1:18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6" t="b">
        <f>ISNUMBER(financials3[[#This Row],[Date]])</f>
        <v>1</v>
      </c>
      <c r="O412" s="8">
        <v>12</v>
      </c>
      <c r="P412" s="5" t="s">
        <v>32</v>
      </c>
      <c r="Q412" s="7" t="s">
        <v>14</v>
      </c>
      <c r="R412" s="5">
        <f t="shared" si="6"/>
        <v>0</v>
      </c>
    </row>
    <row r="413" spans="1:18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6" t="b">
        <f>ISNUMBER(financials3[[#This Row],[Date]])</f>
        <v>1</v>
      </c>
      <c r="O413" s="8">
        <v>12</v>
      </c>
      <c r="P413" s="5" t="s">
        <v>32</v>
      </c>
      <c r="Q413" s="7" t="s">
        <v>15</v>
      </c>
      <c r="R413" s="5">
        <f t="shared" si="6"/>
        <v>0</v>
      </c>
    </row>
    <row r="414" spans="1:18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6" t="b">
        <f>ISNUMBER(financials3[[#This Row],[Date]])</f>
        <v>1</v>
      </c>
      <c r="O414" s="8">
        <v>12</v>
      </c>
      <c r="P414" s="5" t="s">
        <v>32</v>
      </c>
      <c r="Q414" s="7" t="s">
        <v>14</v>
      </c>
      <c r="R414" s="5">
        <f t="shared" si="6"/>
        <v>0</v>
      </c>
    </row>
    <row r="415" spans="1:18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6" t="b">
        <f>ISNUMBER(financials3[[#This Row],[Date]])</f>
        <v>1</v>
      </c>
      <c r="O415" s="8">
        <v>1</v>
      </c>
      <c r="P415" s="5" t="s">
        <v>21</v>
      </c>
      <c r="Q415" s="7" t="s">
        <v>15</v>
      </c>
      <c r="R415" s="5">
        <f t="shared" si="6"/>
        <v>0</v>
      </c>
    </row>
    <row r="416" spans="1:18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6" t="b">
        <f>ISNUMBER(financials3[[#This Row],[Date]])</f>
        <v>1</v>
      </c>
      <c r="O416" s="8">
        <v>1</v>
      </c>
      <c r="P416" s="5" t="s">
        <v>21</v>
      </c>
      <c r="Q416" s="7" t="s">
        <v>15</v>
      </c>
      <c r="R416" s="5">
        <f t="shared" si="6"/>
        <v>0</v>
      </c>
    </row>
    <row r="417" spans="1:18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6" t="b">
        <f>ISNUMBER(financials3[[#This Row],[Date]])</f>
        <v>1</v>
      </c>
      <c r="O417" s="8">
        <v>4</v>
      </c>
      <c r="P417" s="5" t="s">
        <v>24</v>
      </c>
      <c r="Q417" s="7" t="s">
        <v>15</v>
      </c>
      <c r="R417" s="5">
        <f t="shared" si="6"/>
        <v>0</v>
      </c>
    </row>
    <row r="418" spans="1:18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6" t="b">
        <f>ISNUMBER(financials3[[#This Row],[Date]])</f>
        <v>1</v>
      </c>
      <c r="O418" s="8">
        <v>6</v>
      </c>
      <c r="P418" s="5" t="s">
        <v>26</v>
      </c>
      <c r="Q418" s="7" t="s">
        <v>15</v>
      </c>
      <c r="R418" s="5">
        <f t="shared" si="6"/>
        <v>0</v>
      </c>
    </row>
    <row r="419" spans="1:18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6" t="b">
        <f>ISNUMBER(financials3[[#This Row],[Date]])</f>
        <v>1</v>
      </c>
      <c r="O419" s="8">
        <v>10</v>
      </c>
      <c r="P419" s="5" t="s">
        <v>30</v>
      </c>
      <c r="Q419" s="7" t="s">
        <v>15</v>
      </c>
      <c r="R419" s="5">
        <f t="shared" si="6"/>
        <v>0</v>
      </c>
    </row>
    <row r="420" spans="1:18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6" t="b">
        <f>ISNUMBER(financials3[[#This Row],[Date]])</f>
        <v>1</v>
      </c>
      <c r="O420" s="8">
        <v>10</v>
      </c>
      <c r="P420" s="5" t="s">
        <v>30</v>
      </c>
      <c r="Q420" s="7" t="s">
        <v>14</v>
      </c>
      <c r="R420" s="5">
        <f t="shared" si="6"/>
        <v>0</v>
      </c>
    </row>
    <row r="421" spans="1:18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6" t="b">
        <f>ISNUMBER(financials3[[#This Row],[Date]])</f>
        <v>1</v>
      </c>
      <c r="O421" s="8">
        <v>11</v>
      </c>
      <c r="P421" s="5" t="s">
        <v>31</v>
      </c>
      <c r="Q421" s="7" t="s">
        <v>15</v>
      </c>
      <c r="R421" s="5">
        <f t="shared" si="6"/>
        <v>0</v>
      </c>
    </row>
    <row r="422" spans="1:18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6" t="b">
        <f>ISNUMBER(financials3[[#This Row],[Date]])</f>
        <v>1</v>
      </c>
      <c r="O422" s="8">
        <v>11</v>
      </c>
      <c r="P422" s="5" t="s">
        <v>31</v>
      </c>
      <c r="Q422" s="7" t="s">
        <v>14</v>
      </c>
      <c r="R422" s="5">
        <f t="shared" si="6"/>
        <v>0</v>
      </c>
    </row>
    <row r="423" spans="1:18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6" t="b">
        <f>ISNUMBER(financials3[[#This Row],[Date]])</f>
        <v>1</v>
      </c>
      <c r="O423" s="8">
        <v>12</v>
      </c>
      <c r="P423" s="5" t="s">
        <v>32</v>
      </c>
      <c r="Q423" s="7" t="s">
        <v>15</v>
      </c>
      <c r="R423" s="5">
        <f t="shared" si="6"/>
        <v>0</v>
      </c>
    </row>
    <row r="424" spans="1:18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6" t="b">
        <f>ISNUMBER(financials3[[#This Row],[Date]])</f>
        <v>1</v>
      </c>
      <c r="O424" s="8">
        <v>5</v>
      </c>
      <c r="P424" s="5" t="s">
        <v>25</v>
      </c>
      <c r="Q424" s="7" t="s">
        <v>15</v>
      </c>
      <c r="R424" s="5">
        <f t="shared" si="6"/>
        <v>0</v>
      </c>
    </row>
    <row r="425" spans="1:18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6" t="b">
        <f>ISNUMBER(financials3[[#This Row],[Date]])</f>
        <v>1</v>
      </c>
      <c r="O425" s="8">
        <v>7</v>
      </c>
      <c r="P425" s="5" t="s">
        <v>27</v>
      </c>
      <c r="Q425" s="7" t="s">
        <v>15</v>
      </c>
      <c r="R425" s="5">
        <f t="shared" si="6"/>
        <v>0</v>
      </c>
    </row>
    <row r="426" spans="1:18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6" t="b">
        <f>ISNUMBER(financials3[[#This Row],[Date]])</f>
        <v>1</v>
      </c>
      <c r="O426" s="8">
        <v>7</v>
      </c>
      <c r="P426" s="5" t="s">
        <v>27</v>
      </c>
      <c r="Q426" s="7" t="s">
        <v>15</v>
      </c>
      <c r="R426" s="5">
        <f t="shared" si="6"/>
        <v>0</v>
      </c>
    </row>
    <row r="427" spans="1:18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6" t="b">
        <f>ISNUMBER(financials3[[#This Row],[Date]])</f>
        <v>1</v>
      </c>
      <c r="O427" s="8">
        <v>9</v>
      </c>
      <c r="P427" s="5" t="s">
        <v>29</v>
      </c>
      <c r="Q427" s="7" t="s">
        <v>15</v>
      </c>
      <c r="R427" s="5">
        <f t="shared" si="6"/>
        <v>0</v>
      </c>
    </row>
    <row r="428" spans="1:18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6" t="b">
        <f>ISNUMBER(financials3[[#This Row],[Date]])</f>
        <v>1</v>
      </c>
      <c r="O428" s="8">
        <v>9</v>
      </c>
      <c r="P428" s="5" t="s">
        <v>29</v>
      </c>
      <c r="Q428" s="7" t="s">
        <v>15</v>
      </c>
      <c r="R428" s="5">
        <f t="shared" si="6"/>
        <v>0</v>
      </c>
    </row>
    <row r="429" spans="1:18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6" t="b">
        <f>ISNUMBER(financials3[[#This Row],[Date]])</f>
        <v>1</v>
      </c>
      <c r="O429" s="8">
        <v>10</v>
      </c>
      <c r="P429" s="5" t="s">
        <v>30</v>
      </c>
      <c r="Q429" s="7" t="s">
        <v>15</v>
      </c>
      <c r="R429" s="5">
        <f t="shared" si="6"/>
        <v>0</v>
      </c>
    </row>
    <row r="430" spans="1:18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6" t="b">
        <f>ISNUMBER(financials3[[#This Row],[Date]])</f>
        <v>1</v>
      </c>
      <c r="O430" s="8">
        <v>1</v>
      </c>
      <c r="P430" s="5" t="s">
        <v>21</v>
      </c>
      <c r="Q430" s="7" t="s">
        <v>15</v>
      </c>
      <c r="R430" s="5">
        <f t="shared" si="6"/>
        <v>0</v>
      </c>
    </row>
    <row r="431" spans="1:18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6" t="b">
        <f>ISNUMBER(financials3[[#This Row],[Date]])</f>
        <v>1</v>
      </c>
      <c r="O431" s="8">
        <v>2</v>
      </c>
      <c r="P431" s="5" t="s">
        <v>22</v>
      </c>
      <c r="Q431" s="7" t="s">
        <v>15</v>
      </c>
      <c r="R431" s="5">
        <f t="shared" si="6"/>
        <v>0</v>
      </c>
    </row>
    <row r="432" spans="1:18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6" t="b">
        <f>ISNUMBER(financials3[[#This Row],[Date]])</f>
        <v>1</v>
      </c>
      <c r="O432" s="8">
        <v>4</v>
      </c>
      <c r="P432" s="5" t="s">
        <v>24</v>
      </c>
      <c r="Q432" s="7" t="s">
        <v>15</v>
      </c>
      <c r="R432" s="5">
        <f t="shared" si="6"/>
        <v>0</v>
      </c>
    </row>
    <row r="433" spans="1:18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6" t="b">
        <f>ISNUMBER(financials3[[#This Row],[Date]])</f>
        <v>1</v>
      </c>
      <c r="O433" s="8">
        <v>5</v>
      </c>
      <c r="P433" s="5" t="s">
        <v>25</v>
      </c>
      <c r="Q433" s="7" t="s">
        <v>15</v>
      </c>
      <c r="R433" s="5">
        <f t="shared" si="6"/>
        <v>0</v>
      </c>
    </row>
    <row r="434" spans="1:18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6" t="b">
        <f>ISNUMBER(financials3[[#This Row],[Date]])</f>
        <v>1</v>
      </c>
      <c r="O434" s="8">
        <v>9</v>
      </c>
      <c r="P434" s="5" t="s">
        <v>29</v>
      </c>
      <c r="Q434" s="7" t="s">
        <v>15</v>
      </c>
      <c r="R434" s="5">
        <f t="shared" si="6"/>
        <v>0</v>
      </c>
    </row>
    <row r="435" spans="1:18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6" t="b">
        <f>ISNUMBER(financials3[[#This Row],[Date]])</f>
        <v>1</v>
      </c>
      <c r="O435" s="8">
        <v>9</v>
      </c>
      <c r="P435" s="5" t="s">
        <v>29</v>
      </c>
      <c r="Q435" s="7" t="s">
        <v>14</v>
      </c>
      <c r="R435" s="5">
        <f t="shared" si="6"/>
        <v>0</v>
      </c>
    </row>
    <row r="436" spans="1:18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6" t="b">
        <f>ISNUMBER(financials3[[#This Row],[Date]])</f>
        <v>1</v>
      </c>
      <c r="O436" s="8">
        <v>10</v>
      </c>
      <c r="P436" s="5" t="s">
        <v>30</v>
      </c>
      <c r="Q436" s="7" t="s">
        <v>15</v>
      </c>
      <c r="R436" s="5">
        <f t="shared" si="6"/>
        <v>0</v>
      </c>
    </row>
    <row r="437" spans="1:18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6" t="b">
        <f>ISNUMBER(financials3[[#This Row],[Date]])</f>
        <v>1</v>
      </c>
      <c r="O437" s="8">
        <v>11</v>
      </c>
      <c r="P437" s="5" t="s">
        <v>31</v>
      </c>
      <c r="Q437" s="7" t="s">
        <v>15</v>
      </c>
      <c r="R437" s="5">
        <f t="shared" si="6"/>
        <v>0</v>
      </c>
    </row>
    <row r="438" spans="1:18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6" t="b">
        <f>ISNUMBER(financials3[[#This Row],[Date]])</f>
        <v>1</v>
      </c>
      <c r="O438" s="8">
        <v>9</v>
      </c>
      <c r="P438" s="5" t="s">
        <v>29</v>
      </c>
      <c r="Q438" s="7" t="s">
        <v>15</v>
      </c>
      <c r="R438" s="5">
        <f t="shared" si="6"/>
        <v>0</v>
      </c>
    </row>
    <row r="439" spans="1:18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6" t="b">
        <f>ISNUMBER(financials3[[#This Row],[Date]])</f>
        <v>1</v>
      </c>
      <c r="O439" s="8">
        <v>10</v>
      </c>
      <c r="P439" s="5" t="s">
        <v>30</v>
      </c>
      <c r="Q439" s="7" t="s">
        <v>15</v>
      </c>
      <c r="R439" s="5">
        <f t="shared" si="6"/>
        <v>0</v>
      </c>
    </row>
    <row r="440" spans="1:18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6" t="b">
        <f>ISNUMBER(financials3[[#This Row],[Date]])</f>
        <v>1</v>
      </c>
      <c r="O440" s="8">
        <v>11</v>
      </c>
      <c r="P440" s="5" t="s">
        <v>31</v>
      </c>
      <c r="Q440" s="7" t="s">
        <v>14</v>
      </c>
      <c r="R440" s="5">
        <f t="shared" si="6"/>
        <v>0</v>
      </c>
    </row>
    <row r="441" spans="1:18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6" t="b">
        <f>ISNUMBER(financials3[[#This Row],[Date]])</f>
        <v>1</v>
      </c>
      <c r="O441" s="8">
        <v>11</v>
      </c>
      <c r="P441" s="5" t="s">
        <v>31</v>
      </c>
      <c r="Q441" s="7" t="s">
        <v>15</v>
      </c>
      <c r="R441" s="5">
        <f t="shared" si="6"/>
        <v>0</v>
      </c>
    </row>
    <row r="442" spans="1:18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6" t="b">
        <f>ISNUMBER(financials3[[#This Row],[Date]])</f>
        <v>1</v>
      </c>
      <c r="O442" s="8">
        <v>5</v>
      </c>
      <c r="P442" s="5" t="s">
        <v>25</v>
      </c>
      <c r="Q442" s="7" t="s">
        <v>15</v>
      </c>
      <c r="R442" s="5">
        <f t="shared" si="6"/>
        <v>0</v>
      </c>
    </row>
    <row r="443" spans="1:18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6" t="b">
        <f>ISNUMBER(financials3[[#This Row],[Date]])</f>
        <v>1</v>
      </c>
      <c r="O443" s="8">
        <v>7</v>
      </c>
      <c r="P443" s="5" t="s">
        <v>27</v>
      </c>
      <c r="Q443" s="7" t="s">
        <v>15</v>
      </c>
      <c r="R443" s="5">
        <f t="shared" si="6"/>
        <v>0</v>
      </c>
    </row>
    <row r="444" spans="1:18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6" t="b">
        <f>ISNUMBER(financials3[[#This Row],[Date]])</f>
        <v>1</v>
      </c>
      <c r="O444" s="8">
        <v>9</v>
      </c>
      <c r="P444" s="5" t="s">
        <v>29</v>
      </c>
      <c r="Q444" s="7" t="s">
        <v>15</v>
      </c>
      <c r="R444" s="5">
        <f t="shared" si="6"/>
        <v>0</v>
      </c>
    </row>
    <row r="445" spans="1:18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6" t="b">
        <f>ISNUMBER(financials3[[#This Row],[Date]])</f>
        <v>1</v>
      </c>
      <c r="O445" s="8">
        <v>12</v>
      </c>
      <c r="P445" s="5" t="s">
        <v>32</v>
      </c>
      <c r="Q445" s="7" t="s">
        <v>15</v>
      </c>
      <c r="R445" s="5">
        <f t="shared" si="6"/>
        <v>0</v>
      </c>
    </row>
    <row r="446" spans="1:18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6" t="b">
        <f>ISNUMBER(financials3[[#This Row],[Date]])</f>
        <v>1</v>
      </c>
      <c r="O446" s="8">
        <v>3</v>
      </c>
      <c r="P446" s="5" t="s">
        <v>23</v>
      </c>
      <c r="Q446" s="7" t="s">
        <v>15</v>
      </c>
      <c r="R446" s="5">
        <f t="shared" si="6"/>
        <v>0</v>
      </c>
    </row>
    <row r="447" spans="1:18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6" t="b">
        <f>ISNUMBER(financials3[[#This Row],[Date]])</f>
        <v>1</v>
      </c>
      <c r="O447" s="8">
        <v>6</v>
      </c>
      <c r="P447" s="5" t="s">
        <v>26</v>
      </c>
      <c r="Q447" s="7" t="s">
        <v>15</v>
      </c>
      <c r="R447" s="5">
        <f t="shared" si="6"/>
        <v>0</v>
      </c>
    </row>
    <row r="448" spans="1:18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6" t="b">
        <f>ISNUMBER(financials3[[#This Row],[Date]])</f>
        <v>1</v>
      </c>
      <c r="O448" s="8">
        <v>10</v>
      </c>
      <c r="P448" s="5" t="s">
        <v>30</v>
      </c>
      <c r="Q448" s="7" t="s">
        <v>15</v>
      </c>
      <c r="R448" s="5">
        <f t="shared" si="6"/>
        <v>0</v>
      </c>
    </row>
    <row r="449" spans="1:18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6" t="b">
        <f>ISNUMBER(financials3[[#This Row],[Date]])</f>
        <v>1</v>
      </c>
      <c r="O449" s="8">
        <v>3</v>
      </c>
      <c r="P449" s="5" t="s">
        <v>23</v>
      </c>
      <c r="Q449" s="7" t="s">
        <v>15</v>
      </c>
      <c r="R449" s="5">
        <f t="shared" si="6"/>
        <v>0</v>
      </c>
    </row>
    <row r="450" spans="1:18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6" t="b">
        <f>ISNUMBER(financials3[[#This Row],[Date]])</f>
        <v>1</v>
      </c>
      <c r="O450" s="8">
        <v>4</v>
      </c>
      <c r="P450" s="5" t="s">
        <v>24</v>
      </c>
      <c r="Q450" s="7" t="s">
        <v>15</v>
      </c>
      <c r="R450" s="5">
        <f t="shared" ref="R450:R513" si="7">COUNTIFS(A:A,A450,B:B,B450,C:C,C450,D:D,D450,E:E,E450,F:F,F450,G:G,G450,H:H,H450,I:I,I450,J:J,J450,K:K,K450,L:L,L450,M:M,M450,N:N,O450,O:O,P450,P:P,Q450)</f>
        <v>0</v>
      </c>
    </row>
    <row r="451" spans="1:18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6" t="b">
        <f>ISNUMBER(financials3[[#This Row],[Date]])</f>
        <v>1</v>
      </c>
      <c r="O451" s="8">
        <v>10</v>
      </c>
      <c r="P451" s="5" t="s">
        <v>30</v>
      </c>
      <c r="Q451" s="7" t="s">
        <v>15</v>
      </c>
      <c r="R451" s="5">
        <f t="shared" si="7"/>
        <v>0</v>
      </c>
    </row>
    <row r="452" spans="1:18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6" t="b">
        <f>ISNUMBER(financials3[[#This Row],[Date]])</f>
        <v>1</v>
      </c>
      <c r="O452" s="8">
        <v>11</v>
      </c>
      <c r="P452" s="5" t="s">
        <v>31</v>
      </c>
      <c r="Q452" s="7" t="s">
        <v>14</v>
      </c>
      <c r="R452" s="5">
        <f t="shared" si="7"/>
        <v>0</v>
      </c>
    </row>
    <row r="453" spans="1:18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6" t="b">
        <f>ISNUMBER(financials3[[#This Row],[Date]])</f>
        <v>1</v>
      </c>
      <c r="O453" s="8">
        <v>12</v>
      </c>
      <c r="P453" s="5" t="s">
        <v>32</v>
      </c>
      <c r="Q453" s="7" t="s">
        <v>15</v>
      </c>
      <c r="R453" s="5">
        <f t="shared" si="7"/>
        <v>0</v>
      </c>
    </row>
    <row r="454" spans="1:18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6" t="b">
        <f>ISNUMBER(financials3[[#This Row],[Date]])</f>
        <v>1</v>
      </c>
      <c r="O454" s="8">
        <v>6</v>
      </c>
      <c r="P454" s="5" t="s">
        <v>26</v>
      </c>
      <c r="Q454" s="7" t="s">
        <v>15</v>
      </c>
      <c r="R454" s="5">
        <f t="shared" si="7"/>
        <v>0</v>
      </c>
    </row>
    <row r="455" spans="1:18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6" t="b">
        <f>ISNUMBER(financials3[[#This Row],[Date]])</f>
        <v>1</v>
      </c>
      <c r="O455" s="8">
        <v>7</v>
      </c>
      <c r="P455" s="5" t="s">
        <v>27</v>
      </c>
      <c r="Q455" s="7" t="s">
        <v>15</v>
      </c>
      <c r="R455" s="5">
        <f t="shared" si="7"/>
        <v>0</v>
      </c>
    </row>
    <row r="456" spans="1:18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6" t="b">
        <f>ISNUMBER(financials3[[#This Row],[Date]])</f>
        <v>1</v>
      </c>
      <c r="O456" s="8">
        <v>12</v>
      </c>
      <c r="P456" s="5" t="s">
        <v>32</v>
      </c>
      <c r="Q456" s="7" t="s">
        <v>14</v>
      </c>
      <c r="R456" s="5">
        <f t="shared" si="7"/>
        <v>0</v>
      </c>
    </row>
    <row r="457" spans="1:18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6" t="b">
        <f>ISNUMBER(financials3[[#This Row],[Date]])</f>
        <v>1</v>
      </c>
      <c r="O457" s="8">
        <v>10</v>
      </c>
      <c r="P457" s="5" t="s">
        <v>30</v>
      </c>
      <c r="Q457" s="7" t="s">
        <v>14</v>
      </c>
      <c r="R457" s="5">
        <f t="shared" si="7"/>
        <v>0</v>
      </c>
    </row>
    <row r="458" spans="1:18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6" t="b">
        <f>ISNUMBER(financials3[[#This Row],[Date]])</f>
        <v>1</v>
      </c>
      <c r="O458" s="8">
        <v>9</v>
      </c>
      <c r="P458" s="5" t="s">
        <v>29</v>
      </c>
      <c r="Q458" s="7" t="s">
        <v>15</v>
      </c>
      <c r="R458" s="5">
        <f t="shared" si="7"/>
        <v>0</v>
      </c>
    </row>
    <row r="459" spans="1:18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6" t="b">
        <f>ISNUMBER(financials3[[#This Row],[Date]])</f>
        <v>1</v>
      </c>
      <c r="O459" s="8">
        <v>10</v>
      </c>
      <c r="P459" s="5" t="s">
        <v>30</v>
      </c>
      <c r="Q459" s="7" t="s">
        <v>14</v>
      </c>
      <c r="R459" s="5">
        <f t="shared" si="7"/>
        <v>0</v>
      </c>
    </row>
    <row r="460" spans="1:18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6" t="b">
        <f>ISNUMBER(financials3[[#This Row],[Date]])</f>
        <v>1</v>
      </c>
      <c r="O460" s="8">
        <v>4</v>
      </c>
      <c r="P460" s="5" t="s">
        <v>24</v>
      </c>
      <c r="Q460" s="7" t="s">
        <v>15</v>
      </c>
      <c r="R460" s="5">
        <f t="shared" si="7"/>
        <v>0</v>
      </c>
    </row>
    <row r="461" spans="1:18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6" t="b">
        <f>ISNUMBER(financials3[[#This Row],[Date]])</f>
        <v>1</v>
      </c>
      <c r="O461" s="8">
        <v>12</v>
      </c>
      <c r="P461" s="5" t="s">
        <v>32</v>
      </c>
      <c r="Q461" s="7" t="s">
        <v>14</v>
      </c>
      <c r="R461" s="5">
        <f t="shared" si="7"/>
        <v>0</v>
      </c>
    </row>
    <row r="462" spans="1:18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6" t="b">
        <f>ISNUMBER(financials3[[#This Row],[Date]])</f>
        <v>1</v>
      </c>
      <c r="O462" s="8">
        <v>5</v>
      </c>
      <c r="P462" s="5" t="s">
        <v>25</v>
      </c>
      <c r="Q462" s="7" t="s">
        <v>15</v>
      </c>
      <c r="R462" s="5">
        <f t="shared" si="7"/>
        <v>0</v>
      </c>
    </row>
    <row r="463" spans="1:18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6" t="b">
        <f>ISNUMBER(financials3[[#This Row],[Date]])</f>
        <v>1</v>
      </c>
      <c r="O463" s="8">
        <v>11</v>
      </c>
      <c r="P463" s="5" t="s">
        <v>31</v>
      </c>
      <c r="Q463" s="7" t="s">
        <v>14</v>
      </c>
      <c r="R463" s="5">
        <f t="shared" si="7"/>
        <v>0</v>
      </c>
    </row>
    <row r="464" spans="1:18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6" t="b">
        <f>ISNUMBER(financials3[[#This Row],[Date]])</f>
        <v>1</v>
      </c>
      <c r="O464" s="8">
        <v>12</v>
      </c>
      <c r="P464" s="5" t="s">
        <v>32</v>
      </c>
      <c r="Q464" s="7" t="s">
        <v>15</v>
      </c>
      <c r="R464" s="5">
        <f t="shared" si="7"/>
        <v>0</v>
      </c>
    </row>
    <row r="465" spans="1:18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6" t="b">
        <f>ISNUMBER(financials3[[#This Row],[Date]])</f>
        <v>1</v>
      </c>
      <c r="O465" s="8">
        <v>3</v>
      </c>
      <c r="P465" s="5" t="s">
        <v>23</v>
      </c>
      <c r="Q465" s="7" t="s">
        <v>15</v>
      </c>
      <c r="R465" s="5">
        <f t="shared" si="7"/>
        <v>0</v>
      </c>
    </row>
    <row r="466" spans="1:18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6" t="b">
        <f>ISNUMBER(financials3[[#This Row],[Date]])</f>
        <v>1</v>
      </c>
      <c r="O466" s="8">
        <v>5</v>
      </c>
      <c r="P466" s="5" t="s">
        <v>25</v>
      </c>
      <c r="Q466" s="7" t="s">
        <v>15</v>
      </c>
      <c r="R466" s="5">
        <f t="shared" si="7"/>
        <v>0</v>
      </c>
    </row>
    <row r="467" spans="1:18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6" t="b">
        <f>ISNUMBER(financials3[[#This Row],[Date]])</f>
        <v>1</v>
      </c>
      <c r="O467" s="8">
        <v>10</v>
      </c>
      <c r="P467" s="5" t="s">
        <v>30</v>
      </c>
      <c r="Q467" s="7" t="s">
        <v>14</v>
      </c>
      <c r="R467" s="5">
        <f t="shared" si="7"/>
        <v>0</v>
      </c>
    </row>
    <row r="468" spans="1:18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6" t="b">
        <f>ISNUMBER(financials3[[#This Row],[Date]])</f>
        <v>1</v>
      </c>
      <c r="O468" s="8">
        <v>10</v>
      </c>
      <c r="P468" s="5" t="s">
        <v>30</v>
      </c>
      <c r="Q468" s="7" t="s">
        <v>15</v>
      </c>
      <c r="R468" s="5">
        <f t="shared" si="7"/>
        <v>0</v>
      </c>
    </row>
    <row r="469" spans="1:18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6" t="b">
        <f>ISNUMBER(financials3[[#This Row],[Date]])</f>
        <v>1</v>
      </c>
      <c r="O469" s="8">
        <v>1</v>
      </c>
      <c r="P469" s="5" t="s">
        <v>21</v>
      </c>
      <c r="Q469" s="7" t="s">
        <v>15</v>
      </c>
      <c r="R469" s="5">
        <f t="shared" si="7"/>
        <v>0</v>
      </c>
    </row>
    <row r="470" spans="1:18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6" t="b">
        <f>ISNUMBER(financials3[[#This Row],[Date]])</f>
        <v>1</v>
      </c>
      <c r="O470" s="8">
        <v>4</v>
      </c>
      <c r="P470" s="5" t="s">
        <v>24</v>
      </c>
      <c r="Q470" s="7" t="s">
        <v>15</v>
      </c>
      <c r="R470" s="5">
        <f t="shared" si="7"/>
        <v>0</v>
      </c>
    </row>
    <row r="471" spans="1:18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6" t="b">
        <f>ISNUMBER(financials3[[#This Row],[Date]])</f>
        <v>1</v>
      </c>
      <c r="O471" s="8">
        <v>5</v>
      </c>
      <c r="P471" s="5" t="s">
        <v>25</v>
      </c>
      <c r="Q471" s="7" t="s">
        <v>15</v>
      </c>
      <c r="R471" s="5">
        <f t="shared" si="7"/>
        <v>0</v>
      </c>
    </row>
    <row r="472" spans="1:18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6" t="b">
        <f>ISNUMBER(financials3[[#This Row],[Date]])</f>
        <v>1</v>
      </c>
      <c r="O472" s="8">
        <v>7</v>
      </c>
      <c r="P472" s="5" t="s">
        <v>27</v>
      </c>
      <c r="Q472" s="7" t="s">
        <v>15</v>
      </c>
      <c r="R472" s="5">
        <f t="shared" si="7"/>
        <v>0</v>
      </c>
    </row>
    <row r="473" spans="1:18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6" t="b">
        <f>ISNUMBER(financials3[[#This Row],[Date]])</f>
        <v>1</v>
      </c>
      <c r="O473" s="8">
        <v>9</v>
      </c>
      <c r="P473" s="5" t="s">
        <v>29</v>
      </c>
      <c r="Q473" s="7" t="s">
        <v>15</v>
      </c>
      <c r="R473" s="5">
        <f t="shared" si="7"/>
        <v>0</v>
      </c>
    </row>
    <row r="474" spans="1:18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6" t="b">
        <f>ISNUMBER(financials3[[#This Row],[Date]])</f>
        <v>1</v>
      </c>
      <c r="O474" s="8">
        <v>10</v>
      </c>
      <c r="P474" s="5" t="s">
        <v>30</v>
      </c>
      <c r="Q474" s="7" t="s">
        <v>14</v>
      </c>
      <c r="R474" s="5">
        <f t="shared" si="7"/>
        <v>0</v>
      </c>
    </row>
    <row r="475" spans="1:18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6" t="b">
        <f>ISNUMBER(financials3[[#This Row],[Date]])</f>
        <v>1</v>
      </c>
      <c r="O475" s="8">
        <v>10</v>
      </c>
      <c r="P475" s="5" t="s">
        <v>30</v>
      </c>
      <c r="Q475" s="7" t="s">
        <v>15</v>
      </c>
      <c r="R475" s="5">
        <f t="shared" si="7"/>
        <v>0</v>
      </c>
    </row>
    <row r="476" spans="1:18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6" t="b">
        <f>ISNUMBER(financials3[[#This Row],[Date]])</f>
        <v>1</v>
      </c>
      <c r="O476" s="8">
        <v>11</v>
      </c>
      <c r="P476" s="5" t="s">
        <v>31</v>
      </c>
      <c r="Q476" s="7" t="s">
        <v>15</v>
      </c>
      <c r="R476" s="5">
        <f t="shared" si="7"/>
        <v>0</v>
      </c>
    </row>
    <row r="477" spans="1:18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6" t="b">
        <f>ISNUMBER(financials3[[#This Row],[Date]])</f>
        <v>1</v>
      </c>
      <c r="O477" s="8">
        <v>12</v>
      </c>
      <c r="P477" s="5" t="s">
        <v>32</v>
      </c>
      <c r="Q477" s="7" t="s">
        <v>14</v>
      </c>
      <c r="R477" s="5">
        <f t="shared" si="7"/>
        <v>0</v>
      </c>
    </row>
    <row r="478" spans="1:18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6" t="b">
        <f>ISNUMBER(financials3[[#This Row],[Date]])</f>
        <v>1</v>
      </c>
      <c r="O478" s="8">
        <v>12</v>
      </c>
      <c r="P478" s="5" t="s">
        <v>32</v>
      </c>
      <c r="Q478" s="7" t="s">
        <v>15</v>
      </c>
      <c r="R478" s="5">
        <f t="shared" si="7"/>
        <v>0</v>
      </c>
    </row>
    <row r="479" spans="1:18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6" t="b">
        <f>ISNUMBER(financials3[[#This Row],[Date]])</f>
        <v>1</v>
      </c>
      <c r="O479" s="8">
        <v>5</v>
      </c>
      <c r="P479" s="5" t="s">
        <v>25</v>
      </c>
      <c r="Q479" s="7" t="s">
        <v>15</v>
      </c>
      <c r="R479" s="5">
        <f t="shared" si="7"/>
        <v>0</v>
      </c>
    </row>
    <row r="480" spans="1:18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6" t="b">
        <f>ISNUMBER(financials3[[#This Row],[Date]])</f>
        <v>1</v>
      </c>
      <c r="O480" s="8">
        <v>7</v>
      </c>
      <c r="P480" s="5" t="s">
        <v>27</v>
      </c>
      <c r="Q480" s="7" t="s">
        <v>15</v>
      </c>
      <c r="R480" s="5">
        <f t="shared" si="7"/>
        <v>0</v>
      </c>
    </row>
    <row r="481" spans="1:18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6" t="b">
        <f>ISNUMBER(financials3[[#This Row],[Date]])</f>
        <v>1</v>
      </c>
      <c r="O481" s="8">
        <v>8</v>
      </c>
      <c r="P481" s="5" t="s">
        <v>28</v>
      </c>
      <c r="Q481" s="7" t="s">
        <v>15</v>
      </c>
      <c r="R481" s="5">
        <f t="shared" si="7"/>
        <v>0</v>
      </c>
    </row>
    <row r="482" spans="1:18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6" t="b">
        <f>ISNUMBER(financials3[[#This Row],[Date]])</f>
        <v>1</v>
      </c>
      <c r="O482" s="8">
        <v>9</v>
      </c>
      <c r="P482" s="5" t="s">
        <v>29</v>
      </c>
      <c r="Q482" s="7" t="s">
        <v>15</v>
      </c>
      <c r="R482" s="5">
        <f t="shared" si="7"/>
        <v>0</v>
      </c>
    </row>
    <row r="483" spans="1:18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6" t="b">
        <f>ISNUMBER(financials3[[#This Row],[Date]])</f>
        <v>1</v>
      </c>
      <c r="O483" s="8">
        <v>10</v>
      </c>
      <c r="P483" s="5" t="s">
        <v>30</v>
      </c>
      <c r="Q483" s="7" t="s">
        <v>14</v>
      </c>
      <c r="R483" s="5">
        <f t="shared" si="7"/>
        <v>0</v>
      </c>
    </row>
    <row r="484" spans="1:18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6" t="b">
        <f>ISNUMBER(financials3[[#This Row],[Date]])</f>
        <v>1</v>
      </c>
      <c r="O484" s="8">
        <v>10</v>
      </c>
      <c r="P484" s="5" t="s">
        <v>30</v>
      </c>
      <c r="Q484" s="7" t="s">
        <v>14</v>
      </c>
      <c r="R484" s="5">
        <f t="shared" si="7"/>
        <v>0</v>
      </c>
    </row>
    <row r="485" spans="1:18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6" t="b">
        <f>ISNUMBER(financials3[[#This Row],[Date]])</f>
        <v>1</v>
      </c>
      <c r="O485" s="8">
        <v>11</v>
      </c>
      <c r="P485" s="5" t="s">
        <v>31</v>
      </c>
      <c r="Q485" s="7" t="s">
        <v>15</v>
      </c>
      <c r="R485" s="5">
        <f t="shared" si="7"/>
        <v>0</v>
      </c>
    </row>
    <row r="486" spans="1:18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6" t="b">
        <f>ISNUMBER(financials3[[#This Row],[Date]])</f>
        <v>1</v>
      </c>
      <c r="O486" s="8">
        <v>12</v>
      </c>
      <c r="P486" s="5" t="s">
        <v>32</v>
      </c>
      <c r="Q486" s="7" t="s">
        <v>14</v>
      </c>
      <c r="R486" s="5">
        <f t="shared" si="7"/>
        <v>0</v>
      </c>
    </row>
    <row r="487" spans="1:18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6" t="b">
        <f>ISNUMBER(financials3[[#This Row],[Date]])</f>
        <v>1</v>
      </c>
      <c r="O487" s="8">
        <v>1</v>
      </c>
      <c r="P487" s="5" t="s">
        <v>21</v>
      </c>
      <c r="Q487" s="7" t="s">
        <v>15</v>
      </c>
      <c r="R487" s="5">
        <f t="shared" si="7"/>
        <v>0</v>
      </c>
    </row>
    <row r="488" spans="1:18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6" t="b">
        <f>ISNUMBER(financials3[[#This Row],[Date]])</f>
        <v>1</v>
      </c>
      <c r="O488" s="8">
        <v>2</v>
      </c>
      <c r="P488" s="5" t="s">
        <v>22</v>
      </c>
      <c r="Q488" s="7" t="s">
        <v>15</v>
      </c>
      <c r="R488" s="5">
        <f t="shared" si="7"/>
        <v>0</v>
      </c>
    </row>
    <row r="489" spans="1:18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6" t="b">
        <f>ISNUMBER(financials3[[#This Row],[Date]])</f>
        <v>1</v>
      </c>
      <c r="O489" s="8">
        <v>3</v>
      </c>
      <c r="P489" s="5" t="s">
        <v>23</v>
      </c>
      <c r="Q489" s="7" t="s">
        <v>15</v>
      </c>
      <c r="R489" s="5">
        <f t="shared" si="7"/>
        <v>0</v>
      </c>
    </row>
    <row r="490" spans="1:18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6" t="b">
        <f>ISNUMBER(financials3[[#This Row],[Date]])</f>
        <v>1</v>
      </c>
      <c r="O490" s="8">
        <v>4</v>
      </c>
      <c r="P490" s="5" t="s">
        <v>24</v>
      </c>
      <c r="Q490" s="7" t="s">
        <v>15</v>
      </c>
      <c r="R490" s="5">
        <f t="shared" si="7"/>
        <v>0</v>
      </c>
    </row>
    <row r="491" spans="1:18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6" t="b">
        <f>ISNUMBER(financials3[[#This Row],[Date]])</f>
        <v>1</v>
      </c>
      <c r="O491" s="8">
        <v>5</v>
      </c>
      <c r="P491" s="5" t="s">
        <v>25</v>
      </c>
      <c r="Q491" s="7" t="s">
        <v>15</v>
      </c>
      <c r="R491" s="5">
        <f t="shared" si="7"/>
        <v>0</v>
      </c>
    </row>
    <row r="492" spans="1:18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6" t="b">
        <f>ISNUMBER(financials3[[#This Row],[Date]])</f>
        <v>1</v>
      </c>
      <c r="O492" s="8">
        <v>8</v>
      </c>
      <c r="P492" s="5" t="s">
        <v>28</v>
      </c>
      <c r="Q492" s="7" t="s">
        <v>15</v>
      </c>
      <c r="R492" s="5">
        <f t="shared" si="7"/>
        <v>0</v>
      </c>
    </row>
    <row r="493" spans="1:18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6" t="b">
        <f>ISNUMBER(financials3[[#This Row],[Date]])</f>
        <v>1</v>
      </c>
      <c r="O493" s="8">
        <v>9</v>
      </c>
      <c r="P493" s="5" t="s">
        <v>29</v>
      </c>
      <c r="Q493" s="7" t="s">
        <v>15</v>
      </c>
      <c r="R493" s="5">
        <f t="shared" si="7"/>
        <v>0</v>
      </c>
    </row>
    <row r="494" spans="1:18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6" t="b">
        <f>ISNUMBER(financials3[[#This Row],[Date]])</f>
        <v>1</v>
      </c>
      <c r="O494" s="8">
        <v>12</v>
      </c>
      <c r="P494" s="5" t="s">
        <v>32</v>
      </c>
      <c r="Q494" s="7" t="s">
        <v>15</v>
      </c>
      <c r="R494" s="5">
        <f t="shared" si="7"/>
        <v>0</v>
      </c>
    </row>
    <row r="495" spans="1:18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6" t="b">
        <f>ISNUMBER(financials3[[#This Row],[Date]])</f>
        <v>1</v>
      </c>
      <c r="O495" s="8">
        <v>12</v>
      </c>
      <c r="P495" s="5" t="s">
        <v>32</v>
      </c>
      <c r="Q495" s="7" t="s">
        <v>15</v>
      </c>
      <c r="R495" s="5">
        <f t="shared" si="7"/>
        <v>0</v>
      </c>
    </row>
    <row r="496" spans="1:18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6" t="b">
        <f>ISNUMBER(financials3[[#This Row],[Date]])</f>
        <v>1</v>
      </c>
      <c r="O496" s="8">
        <v>10</v>
      </c>
      <c r="P496" s="5" t="s">
        <v>30</v>
      </c>
      <c r="Q496" s="7" t="s">
        <v>14</v>
      </c>
      <c r="R496" s="5">
        <f t="shared" si="7"/>
        <v>0</v>
      </c>
    </row>
    <row r="497" spans="1:18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6" t="b">
        <f>ISNUMBER(financials3[[#This Row],[Date]])</f>
        <v>1</v>
      </c>
      <c r="O497" s="8">
        <v>4</v>
      </c>
      <c r="P497" s="5" t="s">
        <v>24</v>
      </c>
      <c r="Q497" s="7" t="s">
        <v>15</v>
      </c>
      <c r="R497" s="5">
        <f t="shared" si="7"/>
        <v>0</v>
      </c>
    </row>
    <row r="498" spans="1:18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6" t="b">
        <f>ISNUMBER(financials3[[#This Row],[Date]])</f>
        <v>1</v>
      </c>
      <c r="O498" s="8">
        <v>10</v>
      </c>
      <c r="P498" s="5" t="s">
        <v>30</v>
      </c>
      <c r="Q498" s="7" t="s">
        <v>14</v>
      </c>
      <c r="R498" s="5">
        <f t="shared" si="7"/>
        <v>0</v>
      </c>
    </row>
    <row r="499" spans="1:18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6" t="b">
        <f>ISNUMBER(financials3[[#This Row],[Date]])</f>
        <v>1</v>
      </c>
      <c r="O499" s="8">
        <v>1</v>
      </c>
      <c r="P499" s="5" t="s">
        <v>21</v>
      </c>
      <c r="Q499" s="7" t="s">
        <v>15</v>
      </c>
      <c r="R499" s="5">
        <f t="shared" si="7"/>
        <v>0</v>
      </c>
    </row>
    <row r="500" spans="1:18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6" t="b">
        <f>ISNUMBER(financials3[[#This Row],[Date]])</f>
        <v>1</v>
      </c>
      <c r="O500" s="8">
        <v>10</v>
      </c>
      <c r="P500" s="5" t="s">
        <v>30</v>
      </c>
      <c r="Q500" s="7" t="s">
        <v>15</v>
      </c>
      <c r="R500" s="5">
        <f t="shared" si="7"/>
        <v>0</v>
      </c>
    </row>
    <row r="501" spans="1:18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6" t="b">
        <f>ISNUMBER(financials3[[#This Row],[Date]])</f>
        <v>1</v>
      </c>
      <c r="O501" s="8">
        <v>3</v>
      </c>
      <c r="P501" s="5" t="s">
        <v>23</v>
      </c>
      <c r="Q501" s="7" t="s">
        <v>15</v>
      </c>
      <c r="R501" s="5">
        <f t="shared" si="7"/>
        <v>0</v>
      </c>
    </row>
    <row r="502" spans="1:18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6" t="b">
        <f>ISNUMBER(financials3[[#This Row],[Date]])</f>
        <v>1</v>
      </c>
      <c r="O502" s="8">
        <v>9</v>
      </c>
      <c r="P502" s="5" t="s">
        <v>29</v>
      </c>
      <c r="Q502" s="7" t="s">
        <v>14</v>
      </c>
      <c r="R502" s="5">
        <f t="shared" si="7"/>
        <v>0</v>
      </c>
    </row>
    <row r="503" spans="1:18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6" t="b">
        <f>ISNUMBER(financials3[[#This Row],[Date]])</f>
        <v>1</v>
      </c>
      <c r="O503" s="8">
        <v>7</v>
      </c>
      <c r="P503" s="5" t="s">
        <v>27</v>
      </c>
      <c r="Q503" s="7" t="s">
        <v>15</v>
      </c>
      <c r="R503" s="5">
        <f t="shared" si="7"/>
        <v>0</v>
      </c>
    </row>
    <row r="504" spans="1:18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6" t="b">
        <f>ISNUMBER(financials3[[#This Row],[Date]])</f>
        <v>1</v>
      </c>
      <c r="O504" s="8">
        <v>10</v>
      </c>
      <c r="P504" s="5" t="s">
        <v>30</v>
      </c>
      <c r="Q504" s="7" t="s">
        <v>15</v>
      </c>
      <c r="R504" s="5">
        <f t="shared" si="7"/>
        <v>0</v>
      </c>
    </row>
    <row r="505" spans="1:18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6" t="b">
        <f>ISNUMBER(financials3[[#This Row],[Date]])</f>
        <v>1</v>
      </c>
      <c r="O505" s="8">
        <v>2</v>
      </c>
      <c r="P505" s="5" t="s">
        <v>22</v>
      </c>
      <c r="Q505" s="7" t="s">
        <v>15</v>
      </c>
      <c r="R505" s="5">
        <f t="shared" si="7"/>
        <v>0</v>
      </c>
    </row>
    <row r="506" spans="1:18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6" t="b">
        <f>ISNUMBER(financials3[[#This Row],[Date]])</f>
        <v>1</v>
      </c>
      <c r="O506" s="8">
        <v>3</v>
      </c>
      <c r="P506" s="5" t="s">
        <v>23</v>
      </c>
      <c r="Q506" s="7" t="s">
        <v>15</v>
      </c>
      <c r="R506" s="5">
        <f t="shared" si="7"/>
        <v>0</v>
      </c>
    </row>
    <row r="507" spans="1:18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6" t="b">
        <f>ISNUMBER(financials3[[#This Row],[Date]])</f>
        <v>1</v>
      </c>
      <c r="O507" s="8">
        <v>7</v>
      </c>
      <c r="P507" s="5" t="s">
        <v>27</v>
      </c>
      <c r="Q507" s="7" t="s">
        <v>15</v>
      </c>
      <c r="R507" s="5">
        <f t="shared" si="7"/>
        <v>0</v>
      </c>
    </row>
    <row r="508" spans="1:18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6" t="b">
        <f>ISNUMBER(financials3[[#This Row],[Date]])</f>
        <v>1</v>
      </c>
      <c r="O508" s="8">
        <v>10</v>
      </c>
      <c r="P508" s="5" t="s">
        <v>30</v>
      </c>
      <c r="Q508" s="7" t="s">
        <v>15</v>
      </c>
      <c r="R508" s="5">
        <f t="shared" si="7"/>
        <v>0</v>
      </c>
    </row>
    <row r="509" spans="1:18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6" t="b">
        <f>ISNUMBER(financials3[[#This Row],[Date]])</f>
        <v>1</v>
      </c>
      <c r="O509" s="8">
        <v>11</v>
      </c>
      <c r="P509" s="5" t="s">
        <v>31</v>
      </c>
      <c r="Q509" s="7" t="s">
        <v>14</v>
      </c>
      <c r="R509" s="5">
        <f t="shared" si="7"/>
        <v>0</v>
      </c>
    </row>
    <row r="510" spans="1:18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6" t="b">
        <f>ISNUMBER(financials3[[#This Row],[Date]])</f>
        <v>1</v>
      </c>
      <c r="O510" s="8">
        <v>11</v>
      </c>
      <c r="P510" s="5" t="s">
        <v>31</v>
      </c>
      <c r="Q510" s="7" t="s">
        <v>14</v>
      </c>
      <c r="R510" s="5">
        <f t="shared" si="7"/>
        <v>0</v>
      </c>
    </row>
    <row r="511" spans="1:18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6" t="b">
        <f>ISNUMBER(financials3[[#This Row],[Date]])</f>
        <v>1</v>
      </c>
      <c r="O511" s="8">
        <v>1</v>
      </c>
      <c r="P511" s="5" t="s">
        <v>21</v>
      </c>
      <c r="Q511" s="7" t="s">
        <v>15</v>
      </c>
      <c r="R511" s="5">
        <f t="shared" si="7"/>
        <v>0</v>
      </c>
    </row>
    <row r="512" spans="1:18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6" t="b">
        <f>ISNUMBER(financials3[[#This Row],[Date]])</f>
        <v>1</v>
      </c>
      <c r="O512" s="8">
        <v>10</v>
      </c>
      <c r="P512" s="5" t="s">
        <v>30</v>
      </c>
      <c r="Q512" s="7" t="s">
        <v>14</v>
      </c>
      <c r="R512" s="5">
        <f t="shared" si="7"/>
        <v>0</v>
      </c>
    </row>
    <row r="513" spans="1:18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6" t="b">
        <f>ISNUMBER(financials3[[#This Row],[Date]])</f>
        <v>1</v>
      </c>
      <c r="O513" s="8">
        <v>12</v>
      </c>
      <c r="P513" s="5" t="s">
        <v>32</v>
      </c>
      <c r="Q513" s="7" t="s">
        <v>15</v>
      </c>
      <c r="R513" s="5">
        <f t="shared" si="7"/>
        <v>0</v>
      </c>
    </row>
    <row r="514" spans="1:18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6" t="b">
        <f>ISNUMBER(financials3[[#This Row],[Date]])</f>
        <v>1</v>
      </c>
      <c r="O514" s="8">
        <v>1</v>
      </c>
      <c r="P514" s="5" t="s">
        <v>21</v>
      </c>
      <c r="Q514" s="7" t="s">
        <v>15</v>
      </c>
      <c r="R514" s="5">
        <f t="shared" ref="R514:R577" si="8">COUNTIFS(A:A,A514,B:B,B514,C:C,C514,D:D,D514,E:E,E514,F:F,F514,G:G,G514,H:H,H514,I:I,I514,J:J,J514,K:K,K514,L:L,L514,M:M,M514,N:N,O514,O:O,P514,P:P,Q514)</f>
        <v>0</v>
      </c>
    </row>
    <row r="515" spans="1:18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6" t="b">
        <f>ISNUMBER(financials3[[#This Row],[Date]])</f>
        <v>1</v>
      </c>
      <c r="O515" s="8">
        <v>3</v>
      </c>
      <c r="P515" s="5" t="s">
        <v>23</v>
      </c>
      <c r="Q515" s="7" t="s">
        <v>15</v>
      </c>
      <c r="R515" s="5">
        <f t="shared" si="8"/>
        <v>0</v>
      </c>
    </row>
    <row r="516" spans="1:18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6" t="b">
        <f>ISNUMBER(financials3[[#This Row],[Date]])</f>
        <v>1</v>
      </c>
      <c r="O516" s="8">
        <v>7</v>
      </c>
      <c r="P516" s="5" t="s">
        <v>27</v>
      </c>
      <c r="Q516" s="7" t="s">
        <v>15</v>
      </c>
      <c r="R516" s="5">
        <f t="shared" si="8"/>
        <v>0</v>
      </c>
    </row>
    <row r="517" spans="1:18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6" t="b">
        <f>ISNUMBER(financials3[[#This Row],[Date]])</f>
        <v>1</v>
      </c>
      <c r="O517" s="8">
        <v>7</v>
      </c>
      <c r="P517" s="5" t="s">
        <v>27</v>
      </c>
      <c r="Q517" s="7" t="s">
        <v>15</v>
      </c>
      <c r="R517" s="5">
        <f t="shared" si="8"/>
        <v>0</v>
      </c>
    </row>
    <row r="518" spans="1:18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6" t="b">
        <f>ISNUMBER(financials3[[#This Row],[Date]])</f>
        <v>1</v>
      </c>
      <c r="O518" s="8">
        <v>7</v>
      </c>
      <c r="P518" s="5" t="s">
        <v>27</v>
      </c>
      <c r="Q518" s="7" t="s">
        <v>15</v>
      </c>
      <c r="R518" s="5">
        <f t="shared" si="8"/>
        <v>0</v>
      </c>
    </row>
    <row r="519" spans="1:18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6" t="b">
        <f>ISNUMBER(financials3[[#This Row],[Date]])</f>
        <v>1</v>
      </c>
      <c r="O519" s="8">
        <v>8</v>
      </c>
      <c r="P519" s="5" t="s">
        <v>28</v>
      </c>
      <c r="Q519" s="7" t="s">
        <v>15</v>
      </c>
      <c r="R519" s="5">
        <f t="shared" si="8"/>
        <v>0</v>
      </c>
    </row>
    <row r="520" spans="1:18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6" t="b">
        <f>ISNUMBER(financials3[[#This Row],[Date]])</f>
        <v>1</v>
      </c>
      <c r="O520" s="8">
        <v>8</v>
      </c>
      <c r="P520" s="5" t="s">
        <v>28</v>
      </c>
      <c r="Q520" s="7" t="s">
        <v>15</v>
      </c>
      <c r="R520" s="5">
        <f t="shared" si="8"/>
        <v>0</v>
      </c>
    </row>
    <row r="521" spans="1:18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6" t="b">
        <f>ISNUMBER(financials3[[#This Row],[Date]])</f>
        <v>1</v>
      </c>
      <c r="O521" s="8">
        <v>10</v>
      </c>
      <c r="P521" s="5" t="s">
        <v>30</v>
      </c>
      <c r="Q521" s="7" t="s">
        <v>15</v>
      </c>
      <c r="R521" s="5">
        <f t="shared" si="8"/>
        <v>0</v>
      </c>
    </row>
    <row r="522" spans="1:18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6" t="b">
        <f>ISNUMBER(financials3[[#This Row],[Date]])</f>
        <v>1</v>
      </c>
      <c r="O522" s="8">
        <v>10</v>
      </c>
      <c r="P522" s="5" t="s">
        <v>30</v>
      </c>
      <c r="Q522" s="7" t="s">
        <v>14</v>
      </c>
      <c r="R522" s="5">
        <f t="shared" si="8"/>
        <v>0</v>
      </c>
    </row>
    <row r="523" spans="1:18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6" t="b">
        <f>ISNUMBER(financials3[[#This Row],[Date]])</f>
        <v>1</v>
      </c>
      <c r="O523" s="8">
        <v>11</v>
      </c>
      <c r="P523" s="5" t="s">
        <v>31</v>
      </c>
      <c r="Q523" s="7" t="s">
        <v>15</v>
      </c>
      <c r="R523" s="5">
        <f t="shared" si="8"/>
        <v>0</v>
      </c>
    </row>
    <row r="524" spans="1:18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6" t="b">
        <f>ISNUMBER(financials3[[#This Row],[Date]])</f>
        <v>1</v>
      </c>
      <c r="O524" s="8">
        <v>9</v>
      </c>
      <c r="P524" s="5" t="s">
        <v>29</v>
      </c>
      <c r="Q524" s="7" t="s">
        <v>14</v>
      </c>
      <c r="R524" s="5">
        <f t="shared" si="8"/>
        <v>0</v>
      </c>
    </row>
    <row r="525" spans="1:18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6" t="b">
        <f>ISNUMBER(financials3[[#This Row],[Date]])</f>
        <v>1</v>
      </c>
      <c r="O525" s="8">
        <v>9</v>
      </c>
      <c r="P525" s="5" t="s">
        <v>29</v>
      </c>
      <c r="Q525" s="7" t="s">
        <v>14</v>
      </c>
      <c r="R525" s="5">
        <f t="shared" si="8"/>
        <v>0</v>
      </c>
    </row>
    <row r="526" spans="1:18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6" t="b">
        <f>ISNUMBER(financials3[[#This Row],[Date]])</f>
        <v>1</v>
      </c>
      <c r="O526" s="8">
        <v>10</v>
      </c>
      <c r="P526" s="5" t="s">
        <v>30</v>
      </c>
      <c r="Q526" s="7" t="s">
        <v>14</v>
      </c>
      <c r="R526" s="5">
        <f t="shared" si="8"/>
        <v>0</v>
      </c>
    </row>
    <row r="527" spans="1:18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6" t="b">
        <f>ISNUMBER(financials3[[#This Row],[Date]])</f>
        <v>1</v>
      </c>
      <c r="O527" s="8">
        <v>11</v>
      </c>
      <c r="P527" s="5" t="s">
        <v>31</v>
      </c>
      <c r="Q527" s="7" t="s">
        <v>15</v>
      </c>
      <c r="R527" s="5">
        <f t="shared" si="8"/>
        <v>0</v>
      </c>
    </row>
    <row r="528" spans="1:18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6" t="b">
        <f>ISNUMBER(financials3[[#This Row],[Date]])</f>
        <v>1</v>
      </c>
      <c r="O528" s="8">
        <v>1</v>
      </c>
      <c r="P528" s="5" t="s">
        <v>21</v>
      </c>
      <c r="Q528" s="7" t="s">
        <v>15</v>
      </c>
      <c r="R528" s="5">
        <f t="shared" si="8"/>
        <v>0</v>
      </c>
    </row>
    <row r="529" spans="1:18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6" t="b">
        <f>ISNUMBER(financials3[[#This Row],[Date]])</f>
        <v>1</v>
      </c>
      <c r="O529" s="8">
        <v>1</v>
      </c>
      <c r="P529" s="5" t="s">
        <v>21</v>
      </c>
      <c r="Q529" s="7" t="s">
        <v>15</v>
      </c>
      <c r="R529" s="5">
        <f t="shared" si="8"/>
        <v>0</v>
      </c>
    </row>
    <row r="530" spans="1:18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6" t="b">
        <f>ISNUMBER(financials3[[#This Row],[Date]])</f>
        <v>1</v>
      </c>
      <c r="O530" s="8">
        <v>11</v>
      </c>
      <c r="P530" s="5" t="s">
        <v>31</v>
      </c>
      <c r="Q530" s="7" t="s">
        <v>14</v>
      </c>
      <c r="R530" s="5">
        <f t="shared" si="8"/>
        <v>0</v>
      </c>
    </row>
    <row r="531" spans="1:18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6" t="b">
        <f>ISNUMBER(financials3[[#This Row],[Date]])</f>
        <v>1</v>
      </c>
      <c r="O531" s="8">
        <v>1</v>
      </c>
      <c r="P531" s="5" t="s">
        <v>21</v>
      </c>
      <c r="Q531" s="7" t="s">
        <v>15</v>
      </c>
      <c r="R531" s="5">
        <f t="shared" si="8"/>
        <v>0</v>
      </c>
    </row>
    <row r="532" spans="1:18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6" t="b">
        <f>ISNUMBER(financials3[[#This Row],[Date]])</f>
        <v>1</v>
      </c>
      <c r="O532" s="8">
        <v>1</v>
      </c>
      <c r="P532" s="5" t="s">
        <v>21</v>
      </c>
      <c r="Q532" s="7" t="s">
        <v>15</v>
      </c>
      <c r="R532" s="5">
        <f t="shared" si="8"/>
        <v>0</v>
      </c>
    </row>
    <row r="533" spans="1:18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6" t="b">
        <f>ISNUMBER(financials3[[#This Row],[Date]])</f>
        <v>1</v>
      </c>
      <c r="O533" s="8">
        <v>5</v>
      </c>
      <c r="P533" s="5" t="s">
        <v>25</v>
      </c>
      <c r="Q533" s="7" t="s">
        <v>15</v>
      </c>
      <c r="R533" s="5">
        <f t="shared" si="8"/>
        <v>0</v>
      </c>
    </row>
    <row r="534" spans="1:18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6" t="b">
        <f>ISNUMBER(financials3[[#This Row],[Date]])</f>
        <v>1</v>
      </c>
      <c r="O534" s="8">
        <v>9</v>
      </c>
      <c r="P534" s="5" t="s">
        <v>29</v>
      </c>
      <c r="Q534" s="7" t="s">
        <v>14</v>
      </c>
      <c r="R534" s="5">
        <f t="shared" si="8"/>
        <v>0</v>
      </c>
    </row>
    <row r="535" spans="1:18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6" t="b">
        <f>ISNUMBER(financials3[[#This Row],[Date]])</f>
        <v>1</v>
      </c>
      <c r="O535" s="8">
        <v>10</v>
      </c>
      <c r="P535" s="5" t="s">
        <v>30</v>
      </c>
      <c r="Q535" s="7" t="s">
        <v>14</v>
      </c>
      <c r="R535" s="5">
        <f t="shared" si="8"/>
        <v>0</v>
      </c>
    </row>
    <row r="536" spans="1:18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6" t="b">
        <f>ISNUMBER(financials3[[#This Row],[Date]])</f>
        <v>1</v>
      </c>
      <c r="O536" s="8">
        <v>12</v>
      </c>
      <c r="P536" s="5" t="s">
        <v>32</v>
      </c>
      <c r="Q536" s="7" t="s">
        <v>15</v>
      </c>
      <c r="R536" s="5">
        <f t="shared" si="8"/>
        <v>0</v>
      </c>
    </row>
    <row r="537" spans="1:18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6" t="b">
        <f>ISNUMBER(financials3[[#This Row],[Date]])</f>
        <v>1</v>
      </c>
      <c r="O537" s="8">
        <v>9</v>
      </c>
      <c r="P537" s="5" t="s">
        <v>29</v>
      </c>
      <c r="Q537" s="7" t="s">
        <v>14</v>
      </c>
      <c r="R537" s="5">
        <f t="shared" si="8"/>
        <v>0</v>
      </c>
    </row>
    <row r="538" spans="1:18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6" t="b">
        <f>ISNUMBER(financials3[[#This Row],[Date]])</f>
        <v>1</v>
      </c>
      <c r="O538" s="8">
        <v>6</v>
      </c>
      <c r="P538" s="5" t="s">
        <v>26</v>
      </c>
      <c r="Q538" s="7" t="s">
        <v>15</v>
      </c>
      <c r="R538" s="5">
        <f t="shared" si="8"/>
        <v>0</v>
      </c>
    </row>
    <row r="539" spans="1:18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6" t="b">
        <f>ISNUMBER(financials3[[#This Row],[Date]])</f>
        <v>1</v>
      </c>
      <c r="O539" s="8">
        <v>9</v>
      </c>
      <c r="P539" s="5" t="s">
        <v>29</v>
      </c>
      <c r="Q539" s="7" t="s">
        <v>14</v>
      </c>
      <c r="R539" s="5">
        <f t="shared" si="8"/>
        <v>0</v>
      </c>
    </row>
    <row r="540" spans="1:18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6" t="b">
        <f>ISNUMBER(financials3[[#This Row],[Date]])</f>
        <v>1</v>
      </c>
      <c r="O540" s="8">
        <v>10</v>
      </c>
      <c r="P540" s="5" t="s">
        <v>30</v>
      </c>
      <c r="Q540" s="7" t="s">
        <v>15</v>
      </c>
      <c r="R540" s="5">
        <f t="shared" si="8"/>
        <v>0</v>
      </c>
    </row>
    <row r="541" spans="1:18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6" t="b">
        <f>ISNUMBER(financials3[[#This Row],[Date]])</f>
        <v>1</v>
      </c>
      <c r="O541" s="8">
        <v>11</v>
      </c>
      <c r="P541" s="5" t="s">
        <v>31</v>
      </c>
      <c r="Q541" s="7" t="s">
        <v>15</v>
      </c>
      <c r="R541" s="5">
        <f t="shared" si="8"/>
        <v>0</v>
      </c>
    </row>
    <row r="542" spans="1:18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6" t="b">
        <f>ISNUMBER(financials3[[#This Row],[Date]])</f>
        <v>1</v>
      </c>
      <c r="O542" s="8">
        <v>3</v>
      </c>
      <c r="P542" s="5" t="s">
        <v>23</v>
      </c>
      <c r="Q542" s="7" t="s">
        <v>15</v>
      </c>
      <c r="R542" s="5">
        <f t="shared" si="8"/>
        <v>0</v>
      </c>
    </row>
    <row r="543" spans="1:18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6" t="b">
        <f>ISNUMBER(financials3[[#This Row],[Date]])</f>
        <v>1</v>
      </c>
      <c r="O543" s="8">
        <v>4</v>
      </c>
      <c r="P543" s="5" t="s">
        <v>24</v>
      </c>
      <c r="Q543" s="7" t="s">
        <v>15</v>
      </c>
      <c r="R543" s="5">
        <f t="shared" si="8"/>
        <v>0</v>
      </c>
    </row>
    <row r="544" spans="1:18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6" t="b">
        <f>ISNUMBER(financials3[[#This Row],[Date]])</f>
        <v>1</v>
      </c>
      <c r="O544" s="8">
        <v>9</v>
      </c>
      <c r="P544" s="5" t="s">
        <v>29</v>
      </c>
      <c r="Q544" s="7" t="s">
        <v>15</v>
      </c>
      <c r="R544" s="5">
        <f t="shared" si="8"/>
        <v>0</v>
      </c>
    </row>
    <row r="545" spans="1:18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6" t="b">
        <f>ISNUMBER(financials3[[#This Row],[Date]])</f>
        <v>1</v>
      </c>
      <c r="O545" s="8">
        <v>10</v>
      </c>
      <c r="P545" s="5" t="s">
        <v>30</v>
      </c>
      <c r="Q545" s="7" t="s">
        <v>15</v>
      </c>
      <c r="R545" s="5">
        <f t="shared" si="8"/>
        <v>0</v>
      </c>
    </row>
    <row r="546" spans="1:18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6" t="b">
        <f>ISNUMBER(financials3[[#This Row],[Date]])</f>
        <v>1</v>
      </c>
      <c r="O546" s="8">
        <v>10</v>
      </c>
      <c r="P546" s="5" t="s">
        <v>30</v>
      </c>
      <c r="Q546" s="7" t="s">
        <v>14</v>
      </c>
      <c r="R546" s="5">
        <f t="shared" si="8"/>
        <v>0</v>
      </c>
    </row>
    <row r="547" spans="1:18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6" t="b">
        <f>ISNUMBER(financials3[[#This Row],[Date]])</f>
        <v>1</v>
      </c>
      <c r="O547" s="8">
        <v>12</v>
      </c>
      <c r="P547" s="5" t="s">
        <v>32</v>
      </c>
      <c r="Q547" s="7" t="s">
        <v>14</v>
      </c>
      <c r="R547" s="5">
        <f t="shared" si="8"/>
        <v>0</v>
      </c>
    </row>
    <row r="548" spans="1:18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6" t="b">
        <f>ISNUMBER(financials3[[#This Row],[Date]])</f>
        <v>1</v>
      </c>
      <c r="O548" s="8">
        <v>1</v>
      </c>
      <c r="P548" s="5" t="s">
        <v>21</v>
      </c>
      <c r="Q548" s="7" t="s">
        <v>15</v>
      </c>
      <c r="R548" s="5">
        <f t="shared" si="8"/>
        <v>0</v>
      </c>
    </row>
    <row r="549" spans="1:18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6" t="b">
        <f>ISNUMBER(financials3[[#This Row],[Date]])</f>
        <v>1</v>
      </c>
      <c r="O549" s="8">
        <v>6</v>
      </c>
      <c r="P549" s="5" t="s">
        <v>26</v>
      </c>
      <c r="Q549" s="7" t="s">
        <v>15</v>
      </c>
      <c r="R549" s="5">
        <f t="shared" si="8"/>
        <v>0</v>
      </c>
    </row>
    <row r="550" spans="1:18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6" t="b">
        <f>ISNUMBER(financials3[[#This Row],[Date]])</f>
        <v>1</v>
      </c>
      <c r="O550" s="8">
        <v>10</v>
      </c>
      <c r="P550" s="5" t="s">
        <v>30</v>
      </c>
      <c r="Q550" s="7" t="s">
        <v>15</v>
      </c>
      <c r="R550" s="5">
        <f t="shared" si="8"/>
        <v>0</v>
      </c>
    </row>
    <row r="551" spans="1:18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6" t="b">
        <f>ISNUMBER(financials3[[#This Row],[Date]])</f>
        <v>1</v>
      </c>
      <c r="O551" s="8">
        <v>10</v>
      </c>
      <c r="P551" s="5" t="s">
        <v>30</v>
      </c>
      <c r="Q551" s="7" t="s">
        <v>15</v>
      </c>
      <c r="R551" s="5">
        <f t="shared" si="8"/>
        <v>0</v>
      </c>
    </row>
    <row r="552" spans="1:18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6" t="b">
        <f>ISNUMBER(financials3[[#This Row],[Date]])</f>
        <v>1</v>
      </c>
      <c r="O552" s="8">
        <v>10</v>
      </c>
      <c r="P552" s="5" t="s">
        <v>30</v>
      </c>
      <c r="Q552" s="7" t="s">
        <v>14</v>
      </c>
      <c r="R552" s="5">
        <f t="shared" si="8"/>
        <v>0</v>
      </c>
    </row>
    <row r="553" spans="1:18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6" t="b">
        <f>ISNUMBER(financials3[[#This Row],[Date]])</f>
        <v>1</v>
      </c>
      <c r="O553" s="8">
        <v>11</v>
      </c>
      <c r="P553" s="5" t="s">
        <v>31</v>
      </c>
      <c r="Q553" s="7" t="s">
        <v>15</v>
      </c>
      <c r="R553" s="5">
        <f t="shared" si="8"/>
        <v>0</v>
      </c>
    </row>
    <row r="554" spans="1:18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6" t="b">
        <f>ISNUMBER(financials3[[#This Row],[Date]])</f>
        <v>1</v>
      </c>
      <c r="O554" s="8">
        <v>11</v>
      </c>
      <c r="P554" s="5" t="s">
        <v>31</v>
      </c>
      <c r="Q554" s="7" t="s">
        <v>15</v>
      </c>
      <c r="R554" s="5">
        <f t="shared" si="8"/>
        <v>0</v>
      </c>
    </row>
    <row r="555" spans="1:18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6" t="b">
        <f>ISNUMBER(financials3[[#This Row],[Date]])</f>
        <v>1</v>
      </c>
      <c r="O555" s="8">
        <v>11</v>
      </c>
      <c r="P555" s="5" t="s">
        <v>31</v>
      </c>
      <c r="Q555" s="7" t="s">
        <v>15</v>
      </c>
      <c r="R555" s="5">
        <f t="shared" si="8"/>
        <v>0</v>
      </c>
    </row>
    <row r="556" spans="1:18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6" t="b">
        <f>ISNUMBER(financials3[[#This Row],[Date]])</f>
        <v>1</v>
      </c>
      <c r="O556" s="8">
        <v>11</v>
      </c>
      <c r="P556" s="5" t="s">
        <v>31</v>
      </c>
      <c r="Q556" s="7" t="s">
        <v>15</v>
      </c>
      <c r="R556" s="5">
        <f t="shared" si="8"/>
        <v>0</v>
      </c>
    </row>
    <row r="557" spans="1:18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6" t="b">
        <f>ISNUMBER(financials3[[#This Row],[Date]])</f>
        <v>1</v>
      </c>
      <c r="O557" s="8">
        <v>12</v>
      </c>
      <c r="P557" s="5" t="s">
        <v>32</v>
      </c>
      <c r="Q557" s="7" t="s">
        <v>14</v>
      </c>
      <c r="R557" s="5">
        <f t="shared" si="8"/>
        <v>0</v>
      </c>
    </row>
    <row r="558" spans="1:18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6" t="b">
        <f>ISNUMBER(financials3[[#This Row],[Date]])</f>
        <v>1</v>
      </c>
      <c r="O558" s="8">
        <v>12</v>
      </c>
      <c r="P558" s="5" t="s">
        <v>32</v>
      </c>
      <c r="Q558" s="7" t="s">
        <v>15</v>
      </c>
      <c r="R558" s="5">
        <f t="shared" si="8"/>
        <v>0</v>
      </c>
    </row>
    <row r="559" spans="1:18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6" t="b">
        <f>ISNUMBER(financials3[[#This Row],[Date]])</f>
        <v>1</v>
      </c>
      <c r="O559" s="8">
        <v>7</v>
      </c>
      <c r="P559" s="5" t="s">
        <v>27</v>
      </c>
      <c r="Q559" s="7" t="s">
        <v>15</v>
      </c>
      <c r="R559" s="5">
        <f t="shared" si="8"/>
        <v>0</v>
      </c>
    </row>
    <row r="560" spans="1:18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6" t="b">
        <f>ISNUMBER(financials3[[#This Row],[Date]])</f>
        <v>1</v>
      </c>
      <c r="O560" s="8">
        <v>10</v>
      </c>
      <c r="P560" s="5" t="s">
        <v>30</v>
      </c>
      <c r="Q560" s="7" t="s">
        <v>15</v>
      </c>
      <c r="R560" s="5">
        <f t="shared" si="8"/>
        <v>0</v>
      </c>
    </row>
    <row r="561" spans="1:18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6" t="b">
        <f>ISNUMBER(financials3[[#This Row],[Date]])</f>
        <v>1</v>
      </c>
      <c r="O561" s="8">
        <v>10</v>
      </c>
      <c r="P561" s="5" t="s">
        <v>30</v>
      </c>
      <c r="Q561" s="7" t="s">
        <v>15</v>
      </c>
      <c r="R561" s="5">
        <f t="shared" si="8"/>
        <v>0</v>
      </c>
    </row>
    <row r="562" spans="1:18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6" t="b">
        <f>ISNUMBER(financials3[[#This Row],[Date]])</f>
        <v>1</v>
      </c>
      <c r="O562" s="8">
        <v>5</v>
      </c>
      <c r="P562" s="5" t="s">
        <v>25</v>
      </c>
      <c r="Q562" s="7" t="s">
        <v>15</v>
      </c>
      <c r="R562" s="5">
        <f t="shared" si="8"/>
        <v>0</v>
      </c>
    </row>
    <row r="563" spans="1:18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6" t="b">
        <f>ISNUMBER(financials3[[#This Row],[Date]])</f>
        <v>1</v>
      </c>
      <c r="O563" s="8">
        <v>7</v>
      </c>
      <c r="P563" s="5" t="s">
        <v>27</v>
      </c>
      <c r="Q563" s="7" t="s">
        <v>15</v>
      </c>
      <c r="R563" s="5">
        <f t="shared" si="8"/>
        <v>0</v>
      </c>
    </row>
    <row r="564" spans="1:18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6" t="b">
        <f>ISNUMBER(financials3[[#This Row],[Date]])</f>
        <v>1</v>
      </c>
      <c r="O564" s="8">
        <v>9</v>
      </c>
      <c r="P564" s="5" t="s">
        <v>29</v>
      </c>
      <c r="Q564" s="7" t="s">
        <v>14</v>
      </c>
      <c r="R564" s="5">
        <f t="shared" si="8"/>
        <v>0</v>
      </c>
    </row>
    <row r="565" spans="1:18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6" t="b">
        <f>ISNUMBER(financials3[[#This Row],[Date]])</f>
        <v>1</v>
      </c>
      <c r="O565" s="8">
        <v>10</v>
      </c>
      <c r="P565" s="5" t="s">
        <v>30</v>
      </c>
      <c r="Q565" s="7" t="s">
        <v>15</v>
      </c>
      <c r="R565" s="5">
        <f t="shared" si="8"/>
        <v>0</v>
      </c>
    </row>
    <row r="566" spans="1:18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6" t="b">
        <f>ISNUMBER(financials3[[#This Row],[Date]])</f>
        <v>1</v>
      </c>
      <c r="O566" s="8">
        <v>11</v>
      </c>
      <c r="P566" s="5" t="s">
        <v>31</v>
      </c>
      <c r="Q566" s="7" t="s">
        <v>15</v>
      </c>
      <c r="R566" s="5">
        <f t="shared" si="8"/>
        <v>0</v>
      </c>
    </row>
    <row r="567" spans="1:18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6" t="b">
        <f>ISNUMBER(financials3[[#This Row],[Date]])</f>
        <v>1</v>
      </c>
      <c r="O567" s="8">
        <v>12</v>
      </c>
      <c r="P567" s="5" t="s">
        <v>32</v>
      </c>
      <c r="Q567" s="7" t="s">
        <v>15</v>
      </c>
      <c r="R567" s="5">
        <f t="shared" si="8"/>
        <v>0</v>
      </c>
    </row>
    <row r="568" spans="1:18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6" t="b">
        <f>ISNUMBER(financials3[[#This Row],[Date]])</f>
        <v>1</v>
      </c>
      <c r="O568" s="8">
        <v>2</v>
      </c>
      <c r="P568" s="5" t="s">
        <v>22</v>
      </c>
      <c r="Q568" s="7" t="s">
        <v>15</v>
      </c>
      <c r="R568" s="5">
        <f t="shared" si="8"/>
        <v>0</v>
      </c>
    </row>
    <row r="569" spans="1:18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6" t="b">
        <f>ISNUMBER(financials3[[#This Row],[Date]])</f>
        <v>1</v>
      </c>
      <c r="O569" s="8">
        <v>7</v>
      </c>
      <c r="P569" s="5" t="s">
        <v>27</v>
      </c>
      <c r="Q569" s="7" t="s">
        <v>15</v>
      </c>
      <c r="R569" s="5">
        <f t="shared" si="8"/>
        <v>0</v>
      </c>
    </row>
    <row r="570" spans="1:18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6" t="b">
        <f>ISNUMBER(financials3[[#This Row],[Date]])</f>
        <v>1</v>
      </c>
      <c r="O570" s="8">
        <v>10</v>
      </c>
      <c r="P570" s="5" t="s">
        <v>30</v>
      </c>
      <c r="Q570" s="7" t="s">
        <v>15</v>
      </c>
      <c r="R570" s="5">
        <f t="shared" si="8"/>
        <v>0</v>
      </c>
    </row>
    <row r="571" spans="1:18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6" t="b">
        <f>ISNUMBER(financials3[[#This Row],[Date]])</f>
        <v>1</v>
      </c>
      <c r="O571" s="8">
        <v>11</v>
      </c>
      <c r="P571" s="5" t="s">
        <v>31</v>
      </c>
      <c r="Q571" s="7" t="s">
        <v>14</v>
      </c>
      <c r="R571" s="5">
        <f t="shared" si="8"/>
        <v>0</v>
      </c>
    </row>
    <row r="572" spans="1:18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6" t="b">
        <f>ISNUMBER(financials3[[#This Row],[Date]])</f>
        <v>1</v>
      </c>
      <c r="O572" s="8">
        <v>1</v>
      </c>
      <c r="P572" s="5" t="s">
        <v>21</v>
      </c>
      <c r="Q572" s="7" t="s">
        <v>15</v>
      </c>
      <c r="R572" s="5">
        <f t="shared" si="8"/>
        <v>0</v>
      </c>
    </row>
    <row r="573" spans="1:18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6" t="b">
        <f>ISNUMBER(financials3[[#This Row],[Date]])</f>
        <v>1</v>
      </c>
      <c r="O573" s="8">
        <v>5</v>
      </c>
      <c r="P573" s="5" t="s">
        <v>25</v>
      </c>
      <c r="Q573" s="7" t="s">
        <v>15</v>
      </c>
      <c r="R573" s="5">
        <f t="shared" si="8"/>
        <v>0</v>
      </c>
    </row>
    <row r="574" spans="1:18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6" t="b">
        <f>ISNUMBER(financials3[[#This Row],[Date]])</f>
        <v>1</v>
      </c>
      <c r="O574" s="8">
        <v>12</v>
      </c>
      <c r="P574" s="5" t="s">
        <v>32</v>
      </c>
      <c r="Q574" s="7" t="s">
        <v>15</v>
      </c>
      <c r="R574" s="5">
        <f t="shared" si="8"/>
        <v>0</v>
      </c>
    </row>
    <row r="575" spans="1:18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6" t="b">
        <f>ISNUMBER(financials3[[#This Row],[Date]])</f>
        <v>1</v>
      </c>
      <c r="O575" s="8">
        <v>3</v>
      </c>
      <c r="P575" s="5" t="s">
        <v>23</v>
      </c>
      <c r="Q575" s="7" t="s">
        <v>15</v>
      </c>
      <c r="R575" s="5">
        <f t="shared" si="8"/>
        <v>0</v>
      </c>
    </row>
    <row r="576" spans="1:18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6" t="b">
        <f>ISNUMBER(financials3[[#This Row],[Date]])</f>
        <v>1</v>
      </c>
      <c r="O576" s="8">
        <v>12</v>
      </c>
      <c r="P576" s="5" t="s">
        <v>32</v>
      </c>
      <c r="Q576" s="7" t="s">
        <v>15</v>
      </c>
      <c r="R576" s="5">
        <f t="shared" si="8"/>
        <v>0</v>
      </c>
    </row>
    <row r="577" spans="1:18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6" t="b">
        <f>ISNUMBER(financials3[[#This Row],[Date]])</f>
        <v>1</v>
      </c>
      <c r="O577" s="8">
        <v>9</v>
      </c>
      <c r="P577" s="5" t="s">
        <v>29</v>
      </c>
      <c r="Q577" s="7" t="s">
        <v>14</v>
      </c>
      <c r="R577" s="5">
        <f t="shared" si="8"/>
        <v>0</v>
      </c>
    </row>
    <row r="578" spans="1:18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6" t="b">
        <f>ISNUMBER(financials3[[#This Row],[Date]])</f>
        <v>1</v>
      </c>
      <c r="O578" s="8">
        <v>6</v>
      </c>
      <c r="P578" s="5" t="s">
        <v>26</v>
      </c>
      <c r="Q578" s="7" t="s">
        <v>15</v>
      </c>
      <c r="R578" s="5">
        <f t="shared" ref="R578:R641" si="9">COUNTIFS(A:A,A578,B:B,B578,C:C,C578,D:D,D578,E:E,E578,F:F,F578,G:G,G578,H:H,H578,I:I,I578,J:J,J578,K:K,K578,L:L,L578,M:M,M578,N:N,O578,O:O,P578,P:P,Q578)</f>
        <v>0</v>
      </c>
    </row>
    <row r="579" spans="1:18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6" t="b">
        <f>ISNUMBER(financials3[[#This Row],[Date]])</f>
        <v>1</v>
      </c>
      <c r="O579" s="8">
        <v>6</v>
      </c>
      <c r="P579" s="5" t="s">
        <v>26</v>
      </c>
      <c r="Q579" s="7" t="s">
        <v>15</v>
      </c>
      <c r="R579" s="5">
        <f t="shared" si="9"/>
        <v>0</v>
      </c>
    </row>
    <row r="580" spans="1:18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6" t="b">
        <f>ISNUMBER(financials3[[#This Row],[Date]])</f>
        <v>1</v>
      </c>
      <c r="O580" s="8">
        <v>3</v>
      </c>
      <c r="P580" s="5" t="s">
        <v>23</v>
      </c>
      <c r="Q580" s="7" t="s">
        <v>15</v>
      </c>
      <c r="R580" s="5">
        <f t="shared" si="9"/>
        <v>0</v>
      </c>
    </row>
    <row r="581" spans="1:18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6" t="b">
        <f>ISNUMBER(financials3[[#This Row],[Date]])</f>
        <v>1</v>
      </c>
      <c r="O581" s="8">
        <v>3</v>
      </c>
      <c r="P581" s="5" t="s">
        <v>23</v>
      </c>
      <c r="Q581" s="7" t="s">
        <v>15</v>
      </c>
      <c r="R581" s="5">
        <f t="shared" si="9"/>
        <v>0</v>
      </c>
    </row>
    <row r="582" spans="1:18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6" t="b">
        <f>ISNUMBER(financials3[[#This Row],[Date]])</f>
        <v>1</v>
      </c>
      <c r="O582" s="8">
        <v>9</v>
      </c>
      <c r="P582" s="5" t="s">
        <v>29</v>
      </c>
      <c r="Q582" s="7" t="s">
        <v>14</v>
      </c>
      <c r="R582" s="5">
        <f t="shared" si="9"/>
        <v>0</v>
      </c>
    </row>
    <row r="583" spans="1:18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6" t="b">
        <f>ISNUMBER(financials3[[#This Row],[Date]])</f>
        <v>1</v>
      </c>
      <c r="O583" s="8">
        <v>1</v>
      </c>
      <c r="P583" s="5" t="s">
        <v>21</v>
      </c>
      <c r="Q583" s="7" t="s">
        <v>15</v>
      </c>
      <c r="R583" s="5">
        <f t="shared" si="9"/>
        <v>0</v>
      </c>
    </row>
    <row r="584" spans="1:18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6" t="b">
        <f>ISNUMBER(financials3[[#This Row],[Date]])</f>
        <v>1</v>
      </c>
      <c r="O584" s="8">
        <v>2</v>
      </c>
      <c r="P584" s="5" t="s">
        <v>22</v>
      </c>
      <c r="Q584" s="7" t="s">
        <v>15</v>
      </c>
      <c r="R584" s="5">
        <f t="shared" si="9"/>
        <v>0</v>
      </c>
    </row>
    <row r="585" spans="1:18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6" t="b">
        <f>ISNUMBER(financials3[[#This Row],[Date]])</f>
        <v>1</v>
      </c>
      <c r="O585" s="8">
        <v>6</v>
      </c>
      <c r="P585" s="5" t="s">
        <v>26</v>
      </c>
      <c r="Q585" s="7" t="s">
        <v>15</v>
      </c>
      <c r="R585" s="5">
        <f t="shared" si="9"/>
        <v>0</v>
      </c>
    </row>
    <row r="586" spans="1:18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6" t="b">
        <f>ISNUMBER(financials3[[#This Row],[Date]])</f>
        <v>1</v>
      </c>
      <c r="O586" s="8">
        <v>7</v>
      </c>
      <c r="P586" s="5" t="s">
        <v>27</v>
      </c>
      <c r="Q586" s="7" t="s">
        <v>15</v>
      </c>
      <c r="R586" s="5">
        <f t="shared" si="9"/>
        <v>0</v>
      </c>
    </row>
    <row r="587" spans="1:18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6" t="b">
        <f>ISNUMBER(financials3[[#This Row],[Date]])</f>
        <v>1</v>
      </c>
      <c r="O587" s="8">
        <v>10</v>
      </c>
      <c r="P587" s="5" t="s">
        <v>30</v>
      </c>
      <c r="Q587" s="7" t="s">
        <v>15</v>
      </c>
      <c r="R587" s="5">
        <f t="shared" si="9"/>
        <v>0</v>
      </c>
    </row>
    <row r="588" spans="1:18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6" t="b">
        <f>ISNUMBER(financials3[[#This Row],[Date]])</f>
        <v>1</v>
      </c>
      <c r="O588" s="8">
        <v>1</v>
      </c>
      <c r="P588" s="5" t="s">
        <v>21</v>
      </c>
      <c r="Q588" s="7" t="s">
        <v>15</v>
      </c>
      <c r="R588" s="5">
        <f t="shared" si="9"/>
        <v>0</v>
      </c>
    </row>
    <row r="589" spans="1:18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6" t="b">
        <f>ISNUMBER(financials3[[#This Row],[Date]])</f>
        <v>1</v>
      </c>
      <c r="O589" s="8">
        <v>1</v>
      </c>
      <c r="P589" s="5" t="s">
        <v>21</v>
      </c>
      <c r="Q589" s="7" t="s">
        <v>15</v>
      </c>
      <c r="R589" s="5">
        <f t="shared" si="9"/>
        <v>0</v>
      </c>
    </row>
    <row r="590" spans="1:18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6" t="b">
        <f>ISNUMBER(financials3[[#This Row],[Date]])</f>
        <v>1</v>
      </c>
      <c r="O590" s="8">
        <v>2</v>
      </c>
      <c r="P590" s="5" t="s">
        <v>22</v>
      </c>
      <c r="Q590" s="7" t="s">
        <v>15</v>
      </c>
      <c r="R590" s="5">
        <f t="shared" si="9"/>
        <v>0</v>
      </c>
    </row>
    <row r="591" spans="1:18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6" t="b">
        <f>ISNUMBER(financials3[[#This Row],[Date]])</f>
        <v>1</v>
      </c>
      <c r="O591" s="8">
        <v>2</v>
      </c>
      <c r="P591" s="5" t="s">
        <v>22</v>
      </c>
      <c r="Q591" s="7" t="s">
        <v>15</v>
      </c>
      <c r="R591" s="5">
        <f t="shared" si="9"/>
        <v>0</v>
      </c>
    </row>
    <row r="592" spans="1:18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6" t="b">
        <f>ISNUMBER(financials3[[#This Row],[Date]])</f>
        <v>1</v>
      </c>
      <c r="O592" s="8">
        <v>6</v>
      </c>
      <c r="P592" s="5" t="s">
        <v>26</v>
      </c>
      <c r="Q592" s="7" t="s">
        <v>15</v>
      </c>
      <c r="R592" s="5">
        <f t="shared" si="9"/>
        <v>0</v>
      </c>
    </row>
    <row r="593" spans="1:18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6" t="b">
        <f>ISNUMBER(financials3[[#This Row],[Date]])</f>
        <v>1</v>
      </c>
      <c r="O593" s="8">
        <v>6</v>
      </c>
      <c r="P593" s="5" t="s">
        <v>26</v>
      </c>
      <c r="Q593" s="7" t="s">
        <v>15</v>
      </c>
      <c r="R593" s="5">
        <f t="shared" si="9"/>
        <v>0</v>
      </c>
    </row>
    <row r="594" spans="1:18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6" t="b">
        <f>ISNUMBER(financials3[[#This Row],[Date]])</f>
        <v>1</v>
      </c>
      <c r="O594" s="8">
        <v>7</v>
      </c>
      <c r="P594" s="5" t="s">
        <v>27</v>
      </c>
      <c r="Q594" s="7" t="s">
        <v>15</v>
      </c>
      <c r="R594" s="5">
        <f t="shared" si="9"/>
        <v>0</v>
      </c>
    </row>
    <row r="595" spans="1:18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6" t="b">
        <f>ISNUMBER(financials3[[#This Row],[Date]])</f>
        <v>1</v>
      </c>
      <c r="O595" s="8">
        <v>8</v>
      </c>
      <c r="P595" s="5" t="s">
        <v>28</v>
      </c>
      <c r="Q595" s="7" t="s">
        <v>15</v>
      </c>
      <c r="R595" s="5">
        <f t="shared" si="9"/>
        <v>0</v>
      </c>
    </row>
    <row r="596" spans="1:18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6" t="b">
        <f>ISNUMBER(financials3[[#This Row],[Date]])</f>
        <v>1</v>
      </c>
      <c r="O596" s="8">
        <v>10</v>
      </c>
      <c r="P596" s="5" t="s">
        <v>30</v>
      </c>
      <c r="Q596" s="7" t="s">
        <v>15</v>
      </c>
      <c r="R596" s="5">
        <f t="shared" si="9"/>
        <v>0</v>
      </c>
    </row>
    <row r="597" spans="1:18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6" t="b">
        <f>ISNUMBER(financials3[[#This Row],[Date]])</f>
        <v>1</v>
      </c>
      <c r="O597" s="8">
        <v>10</v>
      </c>
      <c r="P597" s="5" t="s">
        <v>30</v>
      </c>
      <c r="Q597" s="7" t="s">
        <v>15</v>
      </c>
      <c r="R597" s="5">
        <f t="shared" si="9"/>
        <v>0</v>
      </c>
    </row>
    <row r="598" spans="1:18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6" t="b">
        <f>ISNUMBER(financials3[[#This Row],[Date]])</f>
        <v>1</v>
      </c>
      <c r="O598" s="8">
        <v>11</v>
      </c>
      <c r="P598" s="5" t="s">
        <v>31</v>
      </c>
      <c r="Q598" s="7" t="s">
        <v>15</v>
      </c>
      <c r="R598" s="5">
        <f t="shared" si="9"/>
        <v>0</v>
      </c>
    </row>
    <row r="599" spans="1:18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6" t="b">
        <f>ISNUMBER(financials3[[#This Row],[Date]])</f>
        <v>1</v>
      </c>
      <c r="O599" s="8">
        <v>12</v>
      </c>
      <c r="P599" s="5" t="s">
        <v>32</v>
      </c>
      <c r="Q599" s="7" t="s">
        <v>15</v>
      </c>
      <c r="R599" s="5">
        <f t="shared" si="9"/>
        <v>0</v>
      </c>
    </row>
    <row r="600" spans="1:18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6" t="b">
        <f>ISNUMBER(financials3[[#This Row],[Date]])</f>
        <v>1</v>
      </c>
      <c r="O600" s="8">
        <v>1</v>
      </c>
      <c r="P600" s="5" t="s">
        <v>21</v>
      </c>
      <c r="Q600" s="7" t="s">
        <v>15</v>
      </c>
      <c r="R600" s="5">
        <f t="shared" si="9"/>
        <v>0</v>
      </c>
    </row>
    <row r="601" spans="1:18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6" t="b">
        <f>ISNUMBER(financials3[[#This Row],[Date]])</f>
        <v>1</v>
      </c>
      <c r="O601" s="8">
        <v>6</v>
      </c>
      <c r="P601" s="5" t="s">
        <v>26</v>
      </c>
      <c r="Q601" s="7" t="s">
        <v>15</v>
      </c>
      <c r="R601" s="5">
        <f t="shared" si="9"/>
        <v>0</v>
      </c>
    </row>
    <row r="602" spans="1:18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6" t="b">
        <f>ISNUMBER(financials3[[#This Row],[Date]])</f>
        <v>1</v>
      </c>
      <c r="O602" s="8">
        <v>6</v>
      </c>
      <c r="P602" s="5" t="s">
        <v>26</v>
      </c>
      <c r="Q602" s="7" t="s">
        <v>15</v>
      </c>
      <c r="R602" s="5">
        <f t="shared" si="9"/>
        <v>0</v>
      </c>
    </row>
    <row r="603" spans="1:18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6" t="b">
        <f>ISNUMBER(financials3[[#This Row],[Date]])</f>
        <v>1</v>
      </c>
      <c r="O603" s="8">
        <v>6</v>
      </c>
      <c r="P603" s="5" t="s">
        <v>26</v>
      </c>
      <c r="Q603" s="7" t="s">
        <v>15</v>
      </c>
      <c r="R603" s="5">
        <f t="shared" si="9"/>
        <v>0</v>
      </c>
    </row>
    <row r="604" spans="1:18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6" t="b">
        <f>ISNUMBER(financials3[[#This Row],[Date]])</f>
        <v>1</v>
      </c>
      <c r="O604" s="8">
        <v>9</v>
      </c>
      <c r="P604" s="5" t="s">
        <v>29</v>
      </c>
      <c r="Q604" s="7" t="s">
        <v>14</v>
      </c>
      <c r="R604" s="5">
        <f t="shared" si="9"/>
        <v>0</v>
      </c>
    </row>
    <row r="605" spans="1:18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6" t="b">
        <f>ISNUMBER(financials3[[#This Row],[Date]])</f>
        <v>1</v>
      </c>
      <c r="O605" s="8">
        <v>10</v>
      </c>
      <c r="P605" s="5" t="s">
        <v>30</v>
      </c>
      <c r="Q605" s="7" t="s">
        <v>15</v>
      </c>
      <c r="R605" s="5">
        <f t="shared" si="9"/>
        <v>0</v>
      </c>
    </row>
    <row r="606" spans="1:18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6" t="b">
        <f>ISNUMBER(financials3[[#This Row],[Date]])</f>
        <v>1</v>
      </c>
      <c r="O606" s="8">
        <v>11</v>
      </c>
      <c r="P606" s="5" t="s">
        <v>31</v>
      </c>
      <c r="Q606" s="7" t="s">
        <v>14</v>
      </c>
      <c r="R606" s="5">
        <f t="shared" si="9"/>
        <v>0</v>
      </c>
    </row>
    <row r="607" spans="1:18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6" t="b">
        <f>ISNUMBER(financials3[[#This Row],[Date]])</f>
        <v>1</v>
      </c>
      <c r="O607" s="8">
        <v>12</v>
      </c>
      <c r="P607" s="5" t="s">
        <v>32</v>
      </c>
      <c r="Q607" s="7" t="s">
        <v>15</v>
      </c>
      <c r="R607" s="5">
        <f t="shared" si="9"/>
        <v>0</v>
      </c>
    </row>
    <row r="608" spans="1:18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6" t="b">
        <f>ISNUMBER(financials3[[#This Row],[Date]])</f>
        <v>1</v>
      </c>
      <c r="O608" s="8">
        <v>6</v>
      </c>
      <c r="P608" s="5" t="s">
        <v>26</v>
      </c>
      <c r="Q608" s="7" t="s">
        <v>15</v>
      </c>
      <c r="R608" s="5">
        <f t="shared" si="9"/>
        <v>0</v>
      </c>
    </row>
    <row r="609" spans="1:18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6" t="b">
        <f>ISNUMBER(financials3[[#This Row],[Date]])</f>
        <v>1</v>
      </c>
      <c r="O609" s="8">
        <v>10</v>
      </c>
      <c r="P609" s="5" t="s">
        <v>30</v>
      </c>
      <c r="Q609" s="7" t="s">
        <v>15</v>
      </c>
      <c r="R609" s="5">
        <f t="shared" si="9"/>
        <v>0</v>
      </c>
    </row>
    <row r="610" spans="1:18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6" t="b">
        <f>ISNUMBER(financials3[[#This Row],[Date]])</f>
        <v>1</v>
      </c>
      <c r="O610" s="8">
        <v>1</v>
      </c>
      <c r="P610" s="5" t="s">
        <v>21</v>
      </c>
      <c r="Q610" s="7" t="s">
        <v>15</v>
      </c>
      <c r="R610" s="5">
        <f t="shared" si="9"/>
        <v>0</v>
      </c>
    </row>
    <row r="611" spans="1:18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6" t="b">
        <f>ISNUMBER(financials3[[#This Row],[Date]])</f>
        <v>1</v>
      </c>
      <c r="O611" s="8">
        <v>6</v>
      </c>
      <c r="P611" s="5" t="s">
        <v>26</v>
      </c>
      <c r="Q611" s="7" t="s">
        <v>15</v>
      </c>
      <c r="R611" s="5">
        <f t="shared" si="9"/>
        <v>0</v>
      </c>
    </row>
    <row r="612" spans="1:18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6" t="b">
        <f>ISNUMBER(financials3[[#This Row],[Date]])</f>
        <v>1</v>
      </c>
      <c r="O612" s="8">
        <v>10</v>
      </c>
      <c r="P612" s="5" t="s">
        <v>30</v>
      </c>
      <c r="Q612" s="7" t="s">
        <v>15</v>
      </c>
      <c r="R612" s="5">
        <f t="shared" si="9"/>
        <v>0</v>
      </c>
    </row>
    <row r="613" spans="1:18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6" t="b">
        <f>ISNUMBER(financials3[[#This Row],[Date]])</f>
        <v>1</v>
      </c>
      <c r="O613" s="8">
        <v>12</v>
      </c>
      <c r="P613" s="5" t="s">
        <v>32</v>
      </c>
      <c r="Q613" s="7" t="s">
        <v>14</v>
      </c>
      <c r="R613" s="5">
        <f t="shared" si="9"/>
        <v>0</v>
      </c>
    </row>
    <row r="614" spans="1:18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6" t="b">
        <f>ISNUMBER(financials3[[#This Row],[Date]])</f>
        <v>1</v>
      </c>
      <c r="O614" s="8">
        <v>4</v>
      </c>
      <c r="P614" s="5" t="s">
        <v>24</v>
      </c>
      <c r="Q614" s="7" t="s">
        <v>15</v>
      </c>
      <c r="R614" s="5">
        <f t="shared" si="9"/>
        <v>0</v>
      </c>
    </row>
    <row r="615" spans="1:18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6" t="b">
        <f>ISNUMBER(financials3[[#This Row],[Date]])</f>
        <v>1</v>
      </c>
      <c r="O615" s="8">
        <v>5</v>
      </c>
      <c r="P615" s="5" t="s">
        <v>25</v>
      </c>
      <c r="Q615" s="7" t="s">
        <v>15</v>
      </c>
      <c r="R615" s="5">
        <f t="shared" si="9"/>
        <v>0</v>
      </c>
    </row>
    <row r="616" spans="1:18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6" t="b">
        <f>ISNUMBER(financials3[[#This Row],[Date]])</f>
        <v>1</v>
      </c>
      <c r="O616" s="8">
        <v>10</v>
      </c>
      <c r="P616" s="5" t="s">
        <v>30</v>
      </c>
      <c r="Q616" s="7" t="s">
        <v>14</v>
      </c>
      <c r="R616" s="5">
        <f t="shared" si="9"/>
        <v>0</v>
      </c>
    </row>
    <row r="617" spans="1:18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6" t="b">
        <f>ISNUMBER(financials3[[#This Row],[Date]])</f>
        <v>1</v>
      </c>
      <c r="O617" s="8">
        <v>12</v>
      </c>
      <c r="P617" s="5" t="s">
        <v>32</v>
      </c>
      <c r="Q617" s="7" t="s">
        <v>15</v>
      </c>
      <c r="R617" s="5">
        <f t="shared" si="9"/>
        <v>0</v>
      </c>
    </row>
    <row r="618" spans="1:18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6" t="b">
        <f>ISNUMBER(financials3[[#This Row],[Date]])</f>
        <v>1</v>
      </c>
      <c r="O618" s="8">
        <v>2</v>
      </c>
      <c r="P618" s="5" t="s">
        <v>22</v>
      </c>
      <c r="Q618" s="7" t="s">
        <v>15</v>
      </c>
      <c r="R618" s="5">
        <f t="shared" si="9"/>
        <v>0</v>
      </c>
    </row>
    <row r="619" spans="1:18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6" t="b">
        <f>ISNUMBER(financials3[[#This Row],[Date]])</f>
        <v>1</v>
      </c>
      <c r="O619" s="8">
        <v>10</v>
      </c>
      <c r="P619" s="5" t="s">
        <v>30</v>
      </c>
      <c r="Q619" s="7" t="s">
        <v>14</v>
      </c>
      <c r="R619" s="5">
        <f t="shared" si="9"/>
        <v>0</v>
      </c>
    </row>
    <row r="620" spans="1:18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6" t="b">
        <f>ISNUMBER(financials3[[#This Row],[Date]])</f>
        <v>1</v>
      </c>
      <c r="O620" s="8">
        <v>2</v>
      </c>
      <c r="P620" s="5" t="s">
        <v>22</v>
      </c>
      <c r="Q620" s="7" t="s">
        <v>15</v>
      </c>
      <c r="R620" s="5">
        <f t="shared" si="9"/>
        <v>0</v>
      </c>
    </row>
    <row r="621" spans="1:18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6" t="b">
        <f>ISNUMBER(financials3[[#This Row],[Date]])</f>
        <v>1</v>
      </c>
      <c r="O621" s="8">
        <v>3</v>
      </c>
      <c r="P621" s="5" t="s">
        <v>23</v>
      </c>
      <c r="Q621" s="7" t="s">
        <v>15</v>
      </c>
      <c r="R621" s="5">
        <f t="shared" si="9"/>
        <v>0</v>
      </c>
    </row>
    <row r="622" spans="1:18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6" t="b">
        <f>ISNUMBER(financials3[[#This Row],[Date]])</f>
        <v>1</v>
      </c>
      <c r="O622" s="8">
        <v>9</v>
      </c>
      <c r="P622" s="5" t="s">
        <v>29</v>
      </c>
      <c r="Q622" s="7" t="s">
        <v>15</v>
      </c>
      <c r="R622" s="5">
        <f t="shared" si="9"/>
        <v>0</v>
      </c>
    </row>
    <row r="623" spans="1:18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6" t="b">
        <f>ISNUMBER(financials3[[#This Row],[Date]])</f>
        <v>1</v>
      </c>
      <c r="O623" s="8">
        <v>10</v>
      </c>
      <c r="P623" s="5" t="s">
        <v>30</v>
      </c>
      <c r="Q623" s="7" t="s">
        <v>15</v>
      </c>
      <c r="R623" s="5">
        <f t="shared" si="9"/>
        <v>0</v>
      </c>
    </row>
    <row r="624" spans="1:18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6" t="b">
        <f>ISNUMBER(financials3[[#This Row],[Date]])</f>
        <v>1</v>
      </c>
      <c r="O624" s="8">
        <v>12</v>
      </c>
      <c r="P624" s="5" t="s">
        <v>32</v>
      </c>
      <c r="Q624" s="7" t="s">
        <v>15</v>
      </c>
      <c r="R624" s="5">
        <f t="shared" si="9"/>
        <v>0</v>
      </c>
    </row>
    <row r="625" spans="1:18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6" t="b">
        <f>ISNUMBER(financials3[[#This Row],[Date]])</f>
        <v>1</v>
      </c>
      <c r="O625" s="8">
        <v>10</v>
      </c>
      <c r="P625" s="5" t="s">
        <v>30</v>
      </c>
      <c r="Q625" s="7" t="s">
        <v>15</v>
      </c>
      <c r="R625" s="5">
        <f t="shared" si="9"/>
        <v>0</v>
      </c>
    </row>
    <row r="626" spans="1:18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6" t="b">
        <f>ISNUMBER(financials3[[#This Row],[Date]])</f>
        <v>1</v>
      </c>
      <c r="O626" s="8">
        <v>12</v>
      </c>
      <c r="P626" s="5" t="s">
        <v>32</v>
      </c>
      <c r="Q626" s="7" t="s">
        <v>14</v>
      </c>
      <c r="R626" s="5">
        <f t="shared" si="9"/>
        <v>0</v>
      </c>
    </row>
    <row r="627" spans="1:18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6" t="b">
        <f>ISNUMBER(financials3[[#This Row],[Date]])</f>
        <v>1</v>
      </c>
      <c r="O627" s="8">
        <v>7</v>
      </c>
      <c r="P627" s="5" t="s">
        <v>27</v>
      </c>
      <c r="Q627" s="7" t="s">
        <v>15</v>
      </c>
      <c r="R627" s="5">
        <f t="shared" si="9"/>
        <v>0</v>
      </c>
    </row>
    <row r="628" spans="1:18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6" t="b">
        <f>ISNUMBER(financials3[[#This Row],[Date]])</f>
        <v>1</v>
      </c>
      <c r="O628" s="8">
        <v>9</v>
      </c>
      <c r="P628" s="5" t="s">
        <v>29</v>
      </c>
      <c r="Q628" s="7" t="s">
        <v>14</v>
      </c>
      <c r="R628" s="5">
        <f t="shared" si="9"/>
        <v>0</v>
      </c>
    </row>
    <row r="629" spans="1:18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6" t="b">
        <f>ISNUMBER(financials3[[#This Row],[Date]])</f>
        <v>1</v>
      </c>
      <c r="O629" s="8">
        <v>10</v>
      </c>
      <c r="P629" s="5" t="s">
        <v>30</v>
      </c>
      <c r="Q629" s="7" t="s">
        <v>15</v>
      </c>
      <c r="R629" s="5">
        <f t="shared" si="9"/>
        <v>0</v>
      </c>
    </row>
    <row r="630" spans="1:18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6" t="b">
        <f>ISNUMBER(financials3[[#This Row],[Date]])</f>
        <v>1</v>
      </c>
      <c r="O630" s="8">
        <v>10</v>
      </c>
      <c r="P630" s="5" t="s">
        <v>30</v>
      </c>
      <c r="Q630" s="7" t="s">
        <v>15</v>
      </c>
      <c r="R630" s="5">
        <f t="shared" si="9"/>
        <v>0</v>
      </c>
    </row>
    <row r="631" spans="1:18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6" t="b">
        <f>ISNUMBER(financials3[[#This Row],[Date]])</f>
        <v>1</v>
      </c>
      <c r="O631" s="8">
        <v>11</v>
      </c>
      <c r="P631" s="5" t="s">
        <v>31</v>
      </c>
      <c r="Q631" s="7" t="s">
        <v>15</v>
      </c>
      <c r="R631" s="5">
        <f t="shared" si="9"/>
        <v>0</v>
      </c>
    </row>
    <row r="632" spans="1:18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6" t="b">
        <f>ISNUMBER(financials3[[#This Row],[Date]])</f>
        <v>1</v>
      </c>
      <c r="O632" s="8">
        <v>12</v>
      </c>
      <c r="P632" s="5" t="s">
        <v>32</v>
      </c>
      <c r="Q632" s="7" t="s">
        <v>15</v>
      </c>
      <c r="R632" s="5">
        <f t="shared" si="9"/>
        <v>0</v>
      </c>
    </row>
    <row r="633" spans="1:18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6" t="b">
        <f>ISNUMBER(financials3[[#This Row],[Date]])</f>
        <v>1</v>
      </c>
      <c r="O633" s="8">
        <v>12</v>
      </c>
      <c r="P633" s="5" t="s">
        <v>32</v>
      </c>
      <c r="Q633" s="7" t="s">
        <v>14</v>
      </c>
      <c r="R633" s="5">
        <f t="shared" si="9"/>
        <v>0</v>
      </c>
    </row>
    <row r="634" spans="1:18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6" t="b">
        <f>ISNUMBER(financials3[[#This Row],[Date]])</f>
        <v>1</v>
      </c>
      <c r="O634" s="8">
        <v>1</v>
      </c>
      <c r="P634" s="5" t="s">
        <v>21</v>
      </c>
      <c r="Q634" s="7" t="s">
        <v>15</v>
      </c>
      <c r="R634" s="5">
        <f t="shared" si="9"/>
        <v>0</v>
      </c>
    </row>
    <row r="635" spans="1:18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6" t="b">
        <f>ISNUMBER(financials3[[#This Row],[Date]])</f>
        <v>1</v>
      </c>
      <c r="O635" s="8">
        <v>4</v>
      </c>
      <c r="P635" s="5" t="s">
        <v>24</v>
      </c>
      <c r="Q635" s="7" t="s">
        <v>15</v>
      </c>
      <c r="R635" s="5">
        <f t="shared" si="9"/>
        <v>0</v>
      </c>
    </row>
    <row r="636" spans="1:18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6" t="b">
        <f>ISNUMBER(financials3[[#This Row],[Date]])</f>
        <v>1</v>
      </c>
      <c r="O636" s="8">
        <v>5</v>
      </c>
      <c r="P636" s="5" t="s">
        <v>25</v>
      </c>
      <c r="Q636" s="7" t="s">
        <v>15</v>
      </c>
      <c r="R636" s="5">
        <f t="shared" si="9"/>
        <v>0</v>
      </c>
    </row>
    <row r="637" spans="1:18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6" t="b">
        <f>ISNUMBER(financials3[[#This Row],[Date]])</f>
        <v>1</v>
      </c>
      <c r="O637" s="8">
        <v>9</v>
      </c>
      <c r="P637" s="5" t="s">
        <v>29</v>
      </c>
      <c r="Q637" s="7" t="s">
        <v>15</v>
      </c>
      <c r="R637" s="5">
        <f t="shared" si="9"/>
        <v>0</v>
      </c>
    </row>
    <row r="638" spans="1:18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6" t="b">
        <f>ISNUMBER(financials3[[#This Row],[Date]])</f>
        <v>1</v>
      </c>
      <c r="O638" s="8">
        <v>10</v>
      </c>
      <c r="P638" s="5" t="s">
        <v>30</v>
      </c>
      <c r="Q638" s="7" t="s">
        <v>14</v>
      </c>
      <c r="R638" s="5">
        <f t="shared" si="9"/>
        <v>0</v>
      </c>
    </row>
    <row r="639" spans="1:18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6" t="b">
        <f>ISNUMBER(financials3[[#This Row],[Date]])</f>
        <v>1</v>
      </c>
      <c r="O639" s="8">
        <v>12</v>
      </c>
      <c r="P639" s="5" t="s">
        <v>32</v>
      </c>
      <c r="Q639" s="7" t="s">
        <v>15</v>
      </c>
      <c r="R639" s="5">
        <f t="shared" si="9"/>
        <v>0</v>
      </c>
    </row>
    <row r="640" spans="1:18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6" t="b">
        <f>ISNUMBER(financials3[[#This Row],[Date]])</f>
        <v>1</v>
      </c>
      <c r="O640" s="8">
        <v>2</v>
      </c>
      <c r="P640" s="5" t="s">
        <v>22</v>
      </c>
      <c r="Q640" s="7" t="s">
        <v>15</v>
      </c>
      <c r="R640" s="5">
        <f t="shared" si="9"/>
        <v>0</v>
      </c>
    </row>
    <row r="641" spans="1:18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6" t="b">
        <f>ISNUMBER(financials3[[#This Row],[Date]])</f>
        <v>1</v>
      </c>
      <c r="O641" s="8">
        <v>9</v>
      </c>
      <c r="P641" s="5" t="s">
        <v>29</v>
      </c>
      <c r="Q641" s="7" t="s">
        <v>14</v>
      </c>
      <c r="R641" s="5">
        <f t="shared" si="9"/>
        <v>0</v>
      </c>
    </row>
    <row r="642" spans="1:18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6" t="b">
        <f>ISNUMBER(financials3[[#This Row],[Date]])</f>
        <v>1</v>
      </c>
      <c r="O642" s="8">
        <v>10</v>
      </c>
      <c r="P642" s="5" t="s">
        <v>30</v>
      </c>
      <c r="Q642" s="7" t="s">
        <v>14</v>
      </c>
      <c r="R642" s="5">
        <f t="shared" ref="R642:R705" si="10">COUNTIFS(A:A,A642,B:B,B642,C:C,C642,D:D,D642,E:E,E642,F:F,F642,G:G,G642,H:H,H642,I:I,I642,J:J,J642,K:K,K642,L:L,L642,M:M,M642,N:N,O642,O:O,P642,P:P,Q642)</f>
        <v>0</v>
      </c>
    </row>
    <row r="643" spans="1:18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6" t="b">
        <f>ISNUMBER(financials3[[#This Row],[Date]])</f>
        <v>1</v>
      </c>
      <c r="O643" s="8">
        <v>10</v>
      </c>
      <c r="P643" s="5" t="s">
        <v>30</v>
      </c>
      <c r="Q643" s="7" t="s">
        <v>15</v>
      </c>
      <c r="R643" s="5">
        <f t="shared" si="10"/>
        <v>0</v>
      </c>
    </row>
    <row r="644" spans="1:18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6" t="b">
        <f>ISNUMBER(financials3[[#This Row],[Date]])</f>
        <v>1</v>
      </c>
      <c r="O644" s="8">
        <v>10</v>
      </c>
      <c r="P644" s="5" t="s">
        <v>30</v>
      </c>
      <c r="Q644" s="7" t="s">
        <v>15</v>
      </c>
      <c r="R644" s="5">
        <f t="shared" si="10"/>
        <v>0</v>
      </c>
    </row>
    <row r="645" spans="1:18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6" t="b">
        <f>ISNUMBER(financials3[[#This Row],[Date]])</f>
        <v>1</v>
      </c>
      <c r="O645" s="8">
        <v>11</v>
      </c>
      <c r="P645" s="5" t="s">
        <v>31</v>
      </c>
      <c r="Q645" s="7" t="s">
        <v>15</v>
      </c>
      <c r="R645" s="5">
        <f t="shared" si="10"/>
        <v>0</v>
      </c>
    </row>
    <row r="646" spans="1:18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6" t="b">
        <f>ISNUMBER(financials3[[#This Row],[Date]])</f>
        <v>1</v>
      </c>
      <c r="O646" s="8">
        <v>11</v>
      </c>
      <c r="P646" s="5" t="s">
        <v>31</v>
      </c>
      <c r="Q646" s="7" t="s">
        <v>14</v>
      </c>
      <c r="R646" s="5">
        <f t="shared" si="10"/>
        <v>0</v>
      </c>
    </row>
    <row r="647" spans="1:18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6" t="b">
        <f>ISNUMBER(financials3[[#This Row],[Date]])</f>
        <v>1</v>
      </c>
      <c r="O647" s="8">
        <v>11</v>
      </c>
      <c r="P647" s="5" t="s">
        <v>31</v>
      </c>
      <c r="Q647" s="7" t="s">
        <v>15</v>
      </c>
      <c r="R647" s="5">
        <f t="shared" si="10"/>
        <v>0</v>
      </c>
    </row>
    <row r="648" spans="1:18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6" t="b">
        <f>ISNUMBER(financials3[[#This Row],[Date]])</f>
        <v>1</v>
      </c>
      <c r="O648" s="8">
        <v>11</v>
      </c>
      <c r="P648" s="5" t="s">
        <v>31</v>
      </c>
      <c r="Q648" s="7" t="s">
        <v>14</v>
      </c>
      <c r="R648" s="5">
        <f t="shared" si="10"/>
        <v>0</v>
      </c>
    </row>
    <row r="649" spans="1:18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6" t="b">
        <f>ISNUMBER(financials3[[#This Row],[Date]])</f>
        <v>1</v>
      </c>
      <c r="O649" s="8">
        <v>2</v>
      </c>
      <c r="P649" s="5" t="s">
        <v>22</v>
      </c>
      <c r="Q649" s="7" t="s">
        <v>15</v>
      </c>
      <c r="R649" s="5">
        <f t="shared" si="10"/>
        <v>0</v>
      </c>
    </row>
    <row r="650" spans="1:18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6" t="b">
        <f>ISNUMBER(financials3[[#This Row],[Date]])</f>
        <v>1</v>
      </c>
      <c r="O650" s="8">
        <v>4</v>
      </c>
      <c r="P650" s="5" t="s">
        <v>24</v>
      </c>
      <c r="Q650" s="7" t="s">
        <v>15</v>
      </c>
      <c r="R650" s="5">
        <f t="shared" si="10"/>
        <v>0</v>
      </c>
    </row>
    <row r="651" spans="1:18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6" t="b">
        <f>ISNUMBER(financials3[[#This Row],[Date]])</f>
        <v>1</v>
      </c>
      <c r="O651" s="8">
        <v>7</v>
      </c>
      <c r="P651" s="5" t="s">
        <v>27</v>
      </c>
      <c r="Q651" s="7" t="s">
        <v>15</v>
      </c>
      <c r="R651" s="5">
        <f t="shared" si="10"/>
        <v>0</v>
      </c>
    </row>
    <row r="652" spans="1:18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6" t="b">
        <f>ISNUMBER(financials3[[#This Row],[Date]])</f>
        <v>1</v>
      </c>
      <c r="O652" s="8">
        <v>10</v>
      </c>
      <c r="P652" s="5" t="s">
        <v>30</v>
      </c>
      <c r="Q652" s="7" t="s">
        <v>14</v>
      </c>
      <c r="R652" s="5">
        <f t="shared" si="10"/>
        <v>0</v>
      </c>
    </row>
    <row r="653" spans="1:18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6" t="b">
        <f>ISNUMBER(financials3[[#This Row],[Date]])</f>
        <v>1</v>
      </c>
      <c r="O653" s="8">
        <v>11</v>
      </c>
      <c r="P653" s="5" t="s">
        <v>31</v>
      </c>
      <c r="Q653" s="7" t="s">
        <v>14</v>
      </c>
      <c r="R653" s="5">
        <f t="shared" si="10"/>
        <v>0</v>
      </c>
    </row>
    <row r="654" spans="1:18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6" t="b">
        <f>ISNUMBER(financials3[[#This Row],[Date]])</f>
        <v>1</v>
      </c>
      <c r="O654" s="8">
        <v>3</v>
      </c>
      <c r="P654" s="5" t="s">
        <v>23</v>
      </c>
      <c r="Q654" s="7" t="s">
        <v>15</v>
      </c>
      <c r="R654" s="5">
        <f t="shared" si="10"/>
        <v>0</v>
      </c>
    </row>
    <row r="655" spans="1:18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6" t="b">
        <f>ISNUMBER(financials3[[#This Row],[Date]])</f>
        <v>1</v>
      </c>
      <c r="O655" s="8">
        <v>8</v>
      </c>
      <c r="P655" s="5" t="s">
        <v>28</v>
      </c>
      <c r="Q655" s="7" t="s">
        <v>15</v>
      </c>
      <c r="R655" s="5">
        <f t="shared" si="10"/>
        <v>0</v>
      </c>
    </row>
    <row r="656" spans="1:18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6" t="b">
        <f>ISNUMBER(financials3[[#This Row],[Date]])</f>
        <v>1</v>
      </c>
      <c r="O656" s="8">
        <v>10</v>
      </c>
      <c r="P656" s="5" t="s">
        <v>30</v>
      </c>
      <c r="Q656" s="7" t="s">
        <v>14</v>
      </c>
      <c r="R656" s="5">
        <f t="shared" si="10"/>
        <v>0</v>
      </c>
    </row>
    <row r="657" spans="1:18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6" t="b">
        <f>ISNUMBER(financials3[[#This Row],[Date]])</f>
        <v>1</v>
      </c>
      <c r="O657" s="8">
        <v>10</v>
      </c>
      <c r="P657" s="5" t="s">
        <v>30</v>
      </c>
      <c r="Q657" s="7" t="s">
        <v>15</v>
      </c>
      <c r="R657" s="5">
        <f t="shared" si="10"/>
        <v>0</v>
      </c>
    </row>
    <row r="658" spans="1:18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6" t="b">
        <f>ISNUMBER(financials3[[#This Row],[Date]])</f>
        <v>1</v>
      </c>
      <c r="O658" s="8">
        <v>10</v>
      </c>
      <c r="P658" s="5" t="s">
        <v>30</v>
      </c>
      <c r="Q658" s="7" t="s">
        <v>15</v>
      </c>
      <c r="R658" s="5">
        <f t="shared" si="10"/>
        <v>0</v>
      </c>
    </row>
    <row r="659" spans="1:18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6" t="b">
        <f>ISNUMBER(financials3[[#This Row],[Date]])</f>
        <v>1</v>
      </c>
      <c r="O659" s="8">
        <v>12</v>
      </c>
      <c r="P659" s="5" t="s">
        <v>32</v>
      </c>
      <c r="Q659" s="7" t="s">
        <v>14</v>
      </c>
      <c r="R659" s="5">
        <f t="shared" si="10"/>
        <v>0</v>
      </c>
    </row>
    <row r="660" spans="1:18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6" t="b">
        <f>ISNUMBER(financials3[[#This Row],[Date]])</f>
        <v>1</v>
      </c>
      <c r="O660" s="8">
        <v>3</v>
      </c>
      <c r="P660" s="5" t="s">
        <v>23</v>
      </c>
      <c r="Q660" s="7" t="s">
        <v>15</v>
      </c>
      <c r="R660" s="5">
        <f t="shared" si="10"/>
        <v>0</v>
      </c>
    </row>
    <row r="661" spans="1:18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6" t="b">
        <f>ISNUMBER(financials3[[#This Row],[Date]])</f>
        <v>1</v>
      </c>
      <c r="O661" s="8">
        <v>5</v>
      </c>
      <c r="P661" s="5" t="s">
        <v>25</v>
      </c>
      <c r="Q661" s="7" t="s">
        <v>15</v>
      </c>
      <c r="R661" s="5">
        <f t="shared" si="10"/>
        <v>0</v>
      </c>
    </row>
    <row r="662" spans="1:18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6" t="b">
        <f>ISNUMBER(financials3[[#This Row],[Date]])</f>
        <v>1</v>
      </c>
      <c r="O662" s="8">
        <v>8</v>
      </c>
      <c r="P662" s="5" t="s">
        <v>28</v>
      </c>
      <c r="Q662" s="7" t="s">
        <v>15</v>
      </c>
      <c r="R662" s="5">
        <f t="shared" si="10"/>
        <v>0</v>
      </c>
    </row>
    <row r="663" spans="1:18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6" t="b">
        <f>ISNUMBER(financials3[[#This Row],[Date]])</f>
        <v>1</v>
      </c>
      <c r="O663" s="8">
        <v>10</v>
      </c>
      <c r="P663" s="5" t="s">
        <v>30</v>
      </c>
      <c r="Q663" s="7" t="s">
        <v>14</v>
      </c>
      <c r="R663" s="5">
        <f t="shared" si="10"/>
        <v>0</v>
      </c>
    </row>
    <row r="664" spans="1:18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6" t="b">
        <f>ISNUMBER(financials3[[#This Row],[Date]])</f>
        <v>1</v>
      </c>
      <c r="O664" s="8">
        <v>10</v>
      </c>
      <c r="P664" s="5" t="s">
        <v>30</v>
      </c>
      <c r="Q664" s="7" t="s">
        <v>15</v>
      </c>
      <c r="R664" s="5">
        <f t="shared" si="10"/>
        <v>0</v>
      </c>
    </row>
    <row r="665" spans="1:18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6" t="b">
        <f>ISNUMBER(financials3[[#This Row],[Date]])</f>
        <v>1</v>
      </c>
      <c r="O665" s="8">
        <v>10</v>
      </c>
      <c r="P665" s="5" t="s">
        <v>30</v>
      </c>
      <c r="Q665" s="7" t="s">
        <v>15</v>
      </c>
      <c r="R665" s="5">
        <f t="shared" si="10"/>
        <v>0</v>
      </c>
    </row>
    <row r="666" spans="1:18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6" t="b">
        <f>ISNUMBER(financials3[[#This Row],[Date]])</f>
        <v>1</v>
      </c>
      <c r="O666" s="8">
        <v>10</v>
      </c>
      <c r="P666" s="5" t="s">
        <v>30</v>
      </c>
      <c r="Q666" s="7" t="s">
        <v>14</v>
      </c>
      <c r="R666" s="5">
        <f t="shared" si="10"/>
        <v>0</v>
      </c>
    </row>
    <row r="667" spans="1:18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6" t="b">
        <f>ISNUMBER(financials3[[#This Row],[Date]])</f>
        <v>1</v>
      </c>
      <c r="O667" s="8">
        <v>11</v>
      </c>
      <c r="P667" s="5" t="s">
        <v>31</v>
      </c>
      <c r="Q667" s="7" t="s">
        <v>14</v>
      </c>
      <c r="R667" s="5">
        <f t="shared" si="10"/>
        <v>0</v>
      </c>
    </row>
    <row r="668" spans="1:18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6" t="b">
        <f>ISNUMBER(financials3[[#This Row],[Date]])</f>
        <v>1</v>
      </c>
      <c r="O668" s="8">
        <v>8</v>
      </c>
      <c r="P668" s="5" t="s">
        <v>28</v>
      </c>
      <c r="Q668" s="7" t="s">
        <v>15</v>
      </c>
      <c r="R668" s="5">
        <f t="shared" si="10"/>
        <v>0</v>
      </c>
    </row>
    <row r="669" spans="1:18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6" t="b">
        <f>ISNUMBER(financials3[[#This Row],[Date]])</f>
        <v>1</v>
      </c>
      <c r="O669" s="8">
        <v>8</v>
      </c>
      <c r="P669" s="5" t="s">
        <v>28</v>
      </c>
      <c r="Q669" s="7" t="s">
        <v>15</v>
      </c>
      <c r="R669" s="5">
        <f t="shared" si="10"/>
        <v>0</v>
      </c>
    </row>
    <row r="670" spans="1:18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6" t="b">
        <f>ISNUMBER(financials3[[#This Row],[Date]])</f>
        <v>1</v>
      </c>
      <c r="O670" s="8">
        <v>10</v>
      </c>
      <c r="P670" s="5" t="s">
        <v>30</v>
      </c>
      <c r="Q670" s="7" t="s">
        <v>15</v>
      </c>
      <c r="R670" s="5">
        <f t="shared" si="10"/>
        <v>0</v>
      </c>
    </row>
    <row r="671" spans="1:18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6" t="b">
        <f>ISNUMBER(financials3[[#This Row],[Date]])</f>
        <v>1</v>
      </c>
      <c r="O671" s="8">
        <v>10</v>
      </c>
      <c r="P671" s="5" t="s">
        <v>30</v>
      </c>
      <c r="Q671" s="7" t="s">
        <v>15</v>
      </c>
      <c r="R671" s="5">
        <f t="shared" si="10"/>
        <v>0</v>
      </c>
    </row>
    <row r="672" spans="1:18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6" t="b">
        <f>ISNUMBER(financials3[[#This Row],[Date]])</f>
        <v>1</v>
      </c>
      <c r="O672" s="8">
        <v>3</v>
      </c>
      <c r="P672" s="5" t="s">
        <v>23</v>
      </c>
      <c r="Q672" s="7" t="s">
        <v>15</v>
      </c>
      <c r="R672" s="5">
        <f t="shared" si="10"/>
        <v>0</v>
      </c>
    </row>
    <row r="673" spans="1:18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6" t="b">
        <f>ISNUMBER(financials3[[#This Row],[Date]])</f>
        <v>1</v>
      </c>
      <c r="O673" s="8">
        <v>4</v>
      </c>
      <c r="P673" s="5" t="s">
        <v>24</v>
      </c>
      <c r="Q673" s="7" t="s">
        <v>15</v>
      </c>
      <c r="R673" s="5">
        <f t="shared" si="10"/>
        <v>0</v>
      </c>
    </row>
    <row r="674" spans="1:18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6" t="b">
        <f>ISNUMBER(financials3[[#This Row],[Date]])</f>
        <v>1</v>
      </c>
      <c r="O674" s="8">
        <v>4</v>
      </c>
      <c r="P674" s="5" t="s">
        <v>24</v>
      </c>
      <c r="Q674" s="7" t="s">
        <v>15</v>
      </c>
      <c r="R674" s="5">
        <f t="shared" si="10"/>
        <v>0</v>
      </c>
    </row>
    <row r="675" spans="1:18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6" t="b">
        <f>ISNUMBER(financials3[[#This Row],[Date]])</f>
        <v>1</v>
      </c>
      <c r="O675" s="8">
        <v>5</v>
      </c>
      <c r="P675" s="5" t="s">
        <v>25</v>
      </c>
      <c r="Q675" s="7" t="s">
        <v>15</v>
      </c>
      <c r="R675" s="5">
        <f t="shared" si="10"/>
        <v>0</v>
      </c>
    </row>
    <row r="676" spans="1:18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6" t="b">
        <f>ISNUMBER(financials3[[#This Row],[Date]])</f>
        <v>1</v>
      </c>
      <c r="O676" s="8">
        <v>8</v>
      </c>
      <c r="P676" s="5" t="s">
        <v>28</v>
      </c>
      <c r="Q676" s="7" t="s">
        <v>15</v>
      </c>
      <c r="R676" s="5">
        <f t="shared" si="10"/>
        <v>0</v>
      </c>
    </row>
    <row r="677" spans="1:18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6" t="b">
        <f>ISNUMBER(financials3[[#This Row],[Date]])</f>
        <v>1</v>
      </c>
      <c r="O677" s="8">
        <v>10</v>
      </c>
      <c r="P677" s="5" t="s">
        <v>30</v>
      </c>
      <c r="Q677" s="7" t="s">
        <v>14</v>
      </c>
      <c r="R677" s="5">
        <f t="shared" si="10"/>
        <v>0</v>
      </c>
    </row>
    <row r="678" spans="1:18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6" t="b">
        <f>ISNUMBER(financials3[[#This Row],[Date]])</f>
        <v>1</v>
      </c>
      <c r="O678" s="8">
        <v>10</v>
      </c>
      <c r="P678" s="5" t="s">
        <v>30</v>
      </c>
      <c r="Q678" s="7" t="s">
        <v>15</v>
      </c>
      <c r="R678" s="5">
        <f t="shared" si="10"/>
        <v>0</v>
      </c>
    </row>
    <row r="679" spans="1:18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6" t="b">
        <f>ISNUMBER(financials3[[#This Row],[Date]])</f>
        <v>1</v>
      </c>
      <c r="O679" s="8">
        <v>10</v>
      </c>
      <c r="P679" s="5" t="s">
        <v>30</v>
      </c>
      <c r="Q679" s="7" t="s">
        <v>15</v>
      </c>
      <c r="R679" s="5">
        <f t="shared" si="10"/>
        <v>0</v>
      </c>
    </row>
    <row r="680" spans="1:18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6" t="b">
        <f>ISNUMBER(financials3[[#This Row],[Date]])</f>
        <v>1</v>
      </c>
      <c r="O680" s="8">
        <v>11</v>
      </c>
      <c r="P680" s="5" t="s">
        <v>31</v>
      </c>
      <c r="Q680" s="7" t="s">
        <v>14</v>
      </c>
      <c r="R680" s="5">
        <f t="shared" si="10"/>
        <v>0</v>
      </c>
    </row>
    <row r="681" spans="1:18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6" t="b">
        <f>ISNUMBER(financials3[[#This Row],[Date]])</f>
        <v>1</v>
      </c>
      <c r="O681" s="8">
        <v>11</v>
      </c>
      <c r="P681" s="5" t="s">
        <v>31</v>
      </c>
      <c r="Q681" s="7" t="s">
        <v>14</v>
      </c>
      <c r="R681" s="5">
        <f t="shared" si="10"/>
        <v>0</v>
      </c>
    </row>
    <row r="682" spans="1:18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6" t="b">
        <f>ISNUMBER(financials3[[#This Row],[Date]])</f>
        <v>1</v>
      </c>
      <c r="O682" s="8">
        <v>12</v>
      </c>
      <c r="P682" s="5" t="s">
        <v>32</v>
      </c>
      <c r="Q682" s="7" t="s">
        <v>15</v>
      </c>
      <c r="R682" s="5">
        <f t="shared" si="10"/>
        <v>0</v>
      </c>
    </row>
    <row r="683" spans="1:18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6" t="b">
        <f>ISNUMBER(financials3[[#This Row],[Date]])</f>
        <v>1</v>
      </c>
      <c r="O683" s="8">
        <v>12</v>
      </c>
      <c r="P683" s="5" t="s">
        <v>32</v>
      </c>
      <c r="Q683" s="7" t="s">
        <v>15</v>
      </c>
      <c r="R683" s="5">
        <f t="shared" si="10"/>
        <v>0</v>
      </c>
    </row>
    <row r="684" spans="1:18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6" t="b">
        <f>ISNUMBER(financials3[[#This Row],[Date]])</f>
        <v>1</v>
      </c>
      <c r="O684" s="8">
        <v>3</v>
      </c>
      <c r="P684" s="5" t="s">
        <v>23</v>
      </c>
      <c r="Q684" s="7" t="s">
        <v>15</v>
      </c>
      <c r="R684" s="5">
        <f t="shared" si="10"/>
        <v>0</v>
      </c>
    </row>
    <row r="685" spans="1:18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6" t="b">
        <f>ISNUMBER(financials3[[#This Row],[Date]])</f>
        <v>1</v>
      </c>
      <c r="O685" s="8">
        <v>5</v>
      </c>
      <c r="P685" s="5" t="s">
        <v>25</v>
      </c>
      <c r="Q685" s="7" t="s">
        <v>15</v>
      </c>
      <c r="R685" s="5">
        <f t="shared" si="10"/>
        <v>0</v>
      </c>
    </row>
    <row r="686" spans="1:18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6" t="b">
        <f>ISNUMBER(financials3[[#This Row],[Date]])</f>
        <v>1</v>
      </c>
      <c r="O686" s="8">
        <v>9</v>
      </c>
      <c r="P686" s="5" t="s">
        <v>29</v>
      </c>
      <c r="Q686" s="7" t="s">
        <v>15</v>
      </c>
      <c r="R686" s="5">
        <f t="shared" si="10"/>
        <v>0</v>
      </c>
    </row>
    <row r="687" spans="1:18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6" t="b">
        <f>ISNUMBER(financials3[[#This Row],[Date]])</f>
        <v>1</v>
      </c>
      <c r="O687" s="8">
        <v>11</v>
      </c>
      <c r="P687" s="5" t="s">
        <v>31</v>
      </c>
      <c r="Q687" s="7" t="s">
        <v>14</v>
      </c>
      <c r="R687" s="5">
        <f t="shared" si="10"/>
        <v>0</v>
      </c>
    </row>
    <row r="688" spans="1:18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6" t="b">
        <f>ISNUMBER(financials3[[#This Row],[Date]])</f>
        <v>1</v>
      </c>
      <c r="O688" s="8">
        <v>12</v>
      </c>
      <c r="P688" s="5" t="s">
        <v>32</v>
      </c>
      <c r="Q688" s="7" t="s">
        <v>14</v>
      </c>
      <c r="R688" s="5">
        <f t="shared" si="10"/>
        <v>0</v>
      </c>
    </row>
    <row r="689" spans="1:18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6" t="b">
        <f>ISNUMBER(financials3[[#This Row],[Date]])</f>
        <v>1</v>
      </c>
      <c r="O689" s="8">
        <v>12</v>
      </c>
      <c r="P689" s="5" t="s">
        <v>32</v>
      </c>
      <c r="Q689" s="7" t="s">
        <v>15</v>
      </c>
      <c r="R689" s="5">
        <f t="shared" si="10"/>
        <v>0</v>
      </c>
    </row>
    <row r="690" spans="1:18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6" t="b">
        <f>ISNUMBER(financials3[[#This Row],[Date]])</f>
        <v>1</v>
      </c>
      <c r="O690" s="8">
        <v>7</v>
      </c>
      <c r="P690" s="5" t="s">
        <v>27</v>
      </c>
      <c r="Q690" s="7" t="s">
        <v>15</v>
      </c>
      <c r="R690" s="5">
        <f t="shared" si="10"/>
        <v>0</v>
      </c>
    </row>
    <row r="691" spans="1:18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6" t="b">
        <f>ISNUMBER(financials3[[#This Row],[Date]])</f>
        <v>1</v>
      </c>
      <c r="O691" s="8">
        <v>7</v>
      </c>
      <c r="P691" s="5" t="s">
        <v>27</v>
      </c>
      <c r="Q691" s="7" t="s">
        <v>15</v>
      </c>
      <c r="R691" s="5">
        <f t="shared" si="10"/>
        <v>0</v>
      </c>
    </row>
    <row r="692" spans="1:18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6" t="b">
        <f>ISNUMBER(financials3[[#This Row],[Date]])</f>
        <v>1</v>
      </c>
      <c r="O692" s="8">
        <v>10</v>
      </c>
      <c r="P692" s="5" t="s">
        <v>30</v>
      </c>
      <c r="Q692" s="7" t="s">
        <v>14</v>
      </c>
      <c r="R692" s="5">
        <f t="shared" si="10"/>
        <v>0</v>
      </c>
    </row>
    <row r="693" spans="1:18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6" t="b">
        <f>ISNUMBER(financials3[[#This Row],[Date]])</f>
        <v>1</v>
      </c>
      <c r="O693" s="8">
        <v>10</v>
      </c>
      <c r="P693" s="5" t="s">
        <v>30</v>
      </c>
      <c r="Q693" s="7" t="s">
        <v>15</v>
      </c>
      <c r="R693" s="5">
        <f t="shared" si="10"/>
        <v>0</v>
      </c>
    </row>
    <row r="694" spans="1:18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6" t="b">
        <f>ISNUMBER(financials3[[#This Row],[Date]])</f>
        <v>1</v>
      </c>
      <c r="O694" s="8">
        <v>11</v>
      </c>
      <c r="P694" s="5" t="s">
        <v>31</v>
      </c>
      <c r="Q694" s="7" t="s">
        <v>14</v>
      </c>
      <c r="R694" s="5">
        <f t="shared" si="10"/>
        <v>0</v>
      </c>
    </row>
    <row r="695" spans="1:18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6" t="b">
        <f>ISNUMBER(financials3[[#This Row],[Date]])</f>
        <v>1</v>
      </c>
      <c r="O695" s="8">
        <v>11</v>
      </c>
      <c r="P695" s="5" t="s">
        <v>31</v>
      </c>
      <c r="Q695" s="7" t="s">
        <v>15</v>
      </c>
      <c r="R695" s="5">
        <f t="shared" si="10"/>
        <v>0</v>
      </c>
    </row>
    <row r="696" spans="1:18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6" t="b">
        <f>ISNUMBER(financials3[[#This Row],[Date]])</f>
        <v>1</v>
      </c>
      <c r="O696" s="8">
        <v>12</v>
      </c>
      <c r="P696" s="5" t="s">
        <v>32</v>
      </c>
      <c r="Q696" s="7" t="s">
        <v>15</v>
      </c>
      <c r="R696" s="5">
        <f t="shared" si="10"/>
        <v>0</v>
      </c>
    </row>
    <row r="697" spans="1:18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6" t="b">
        <f>ISNUMBER(financials3[[#This Row],[Date]])</f>
        <v>1</v>
      </c>
      <c r="O697" s="8">
        <v>3</v>
      </c>
      <c r="P697" s="5" t="s">
        <v>23</v>
      </c>
      <c r="Q697" s="7" t="s">
        <v>15</v>
      </c>
      <c r="R697" s="5">
        <f t="shared" si="10"/>
        <v>0</v>
      </c>
    </row>
    <row r="698" spans="1:18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6" t="b">
        <f>ISNUMBER(financials3[[#This Row],[Date]])</f>
        <v>1</v>
      </c>
      <c r="O698" s="8">
        <v>10</v>
      </c>
      <c r="P698" s="5" t="s">
        <v>30</v>
      </c>
      <c r="Q698" s="7" t="s">
        <v>15</v>
      </c>
      <c r="R698" s="5">
        <f t="shared" si="10"/>
        <v>0</v>
      </c>
    </row>
    <row r="699" spans="1:18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6" t="b">
        <f>ISNUMBER(financials3[[#This Row],[Date]])</f>
        <v>1</v>
      </c>
      <c r="O699" s="8">
        <v>2</v>
      </c>
      <c r="P699" s="5" t="s">
        <v>22</v>
      </c>
      <c r="Q699" s="7" t="s">
        <v>15</v>
      </c>
      <c r="R699" s="5">
        <f t="shared" si="10"/>
        <v>0</v>
      </c>
    </row>
    <row r="700" spans="1:18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6" t="b">
        <f>ISNUMBER(financials3[[#This Row],[Date]])</f>
        <v>1</v>
      </c>
      <c r="O700" s="8">
        <v>4</v>
      </c>
      <c r="P700" s="5" t="s">
        <v>24</v>
      </c>
      <c r="Q700" s="7" t="s">
        <v>15</v>
      </c>
      <c r="R700" s="5">
        <f t="shared" si="10"/>
        <v>0</v>
      </c>
    </row>
    <row r="701" spans="1:18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6" t="b">
        <f>ISNUMBER(financials3[[#This Row],[Date]])</f>
        <v>1</v>
      </c>
      <c r="O701" s="8">
        <v>5</v>
      </c>
      <c r="P701" s="5" t="s">
        <v>25</v>
      </c>
      <c r="Q701" s="7" t="s">
        <v>15</v>
      </c>
      <c r="R701" s="5">
        <f t="shared" si="10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7101-731E-47CB-8370-3E0BFF415188}">
  <dimension ref="A1:H32"/>
  <sheetViews>
    <sheetView topLeftCell="A6" workbookViewId="0">
      <selection activeCell="A27" sqref="A27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0.21875" bestFit="1" customWidth="1"/>
    <col min="4" max="4" width="14.88671875" bestFit="1" customWidth="1"/>
    <col min="5" max="5" width="13.33203125" bestFit="1" customWidth="1"/>
    <col min="7" max="7" width="12.44140625" bestFit="1" customWidth="1"/>
    <col min="8" max="8" width="14.33203125" bestFit="1" customWidth="1"/>
  </cols>
  <sheetData>
    <row r="1" spans="1:8" x14ac:dyDescent="0.3">
      <c r="A1" t="s">
        <v>53</v>
      </c>
      <c r="B1" t="s">
        <v>52</v>
      </c>
      <c r="C1" t="s">
        <v>55</v>
      </c>
      <c r="D1" t="s">
        <v>56</v>
      </c>
      <c r="E1" t="s">
        <v>57</v>
      </c>
    </row>
    <row r="2" spans="1:8" x14ac:dyDescent="0.3">
      <c r="A2" t="s">
        <v>54</v>
      </c>
      <c r="B2" s="10">
        <f>SUM('Raw data'!J:J)</f>
        <v>118726350.25999992</v>
      </c>
      <c r="C2">
        <f>SUM('Raw data'!L:L)</f>
        <v>16893702.260000009</v>
      </c>
      <c r="D2">
        <f>SUM('Raw data'!E:E)</f>
        <v>1125806</v>
      </c>
      <c r="E2">
        <f>C2/B2*100</f>
        <v>14.229109395685402</v>
      </c>
    </row>
    <row r="4" spans="1:8" ht="18.600000000000001" thickBot="1" x14ac:dyDescent="0.4">
      <c r="A4" s="14"/>
    </row>
    <row r="5" spans="1:8" ht="18.600000000000001" thickBot="1" x14ac:dyDescent="0.4">
      <c r="A5" s="15" t="s">
        <v>65</v>
      </c>
      <c r="B5" s="16"/>
      <c r="D5" s="15" t="s">
        <v>66</v>
      </c>
      <c r="E5" s="16"/>
      <c r="G5" s="15" t="s">
        <v>67</v>
      </c>
      <c r="H5" s="17"/>
    </row>
    <row r="7" spans="1:8" x14ac:dyDescent="0.3">
      <c r="A7" s="11" t="s">
        <v>61</v>
      </c>
      <c r="B7" t="s">
        <v>59</v>
      </c>
      <c r="D7" s="11" t="s">
        <v>62</v>
      </c>
      <c r="E7" t="s">
        <v>60</v>
      </c>
      <c r="G7" s="11" t="s">
        <v>63</v>
      </c>
      <c r="H7" t="s">
        <v>59</v>
      </c>
    </row>
    <row r="8" spans="1:8" x14ac:dyDescent="0.3">
      <c r="A8" s="12" t="s">
        <v>74</v>
      </c>
      <c r="B8" s="13">
        <v>25029830.165000014</v>
      </c>
      <c r="D8" s="12" t="s">
        <v>10</v>
      </c>
      <c r="E8" s="13">
        <v>11388173.169999985</v>
      </c>
      <c r="G8" s="12" t="s">
        <v>40</v>
      </c>
      <c r="H8" s="13">
        <v>33011143.95000001</v>
      </c>
    </row>
    <row r="9" spans="1:8" x14ac:dyDescent="0.3">
      <c r="A9" s="12" t="s">
        <v>16</v>
      </c>
      <c r="B9" s="13">
        <v>24887654.885000005</v>
      </c>
      <c r="D9" s="12" t="s">
        <v>7</v>
      </c>
      <c r="E9" s="13">
        <v>4143168.5</v>
      </c>
      <c r="G9" s="12" t="s">
        <v>42</v>
      </c>
      <c r="H9" s="13">
        <v>20511921.02</v>
      </c>
    </row>
    <row r="10" spans="1:8" x14ac:dyDescent="0.3">
      <c r="A10" s="12" t="s">
        <v>18</v>
      </c>
      <c r="B10" s="13">
        <v>24354172.280000009</v>
      </c>
      <c r="D10" s="12" t="s">
        <v>11</v>
      </c>
      <c r="E10" s="13">
        <v>1316803.1400000001</v>
      </c>
      <c r="G10" s="12" t="s">
        <v>41</v>
      </c>
      <c r="H10" s="13">
        <v>18250059.465</v>
      </c>
    </row>
    <row r="11" spans="1:8" x14ac:dyDescent="0.3">
      <c r="A11" s="12" t="s">
        <v>19</v>
      </c>
      <c r="B11" s="13">
        <v>23505340.820000011</v>
      </c>
      <c r="D11" s="12" t="s">
        <v>8</v>
      </c>
      <c r="E11" s="13">
        <v>660103.07499999984</v>
      </c>
      <c r="G11" s="12" t="s">
        <v>43</v>
      </c>
      <c r="H11" s="13">
        <v>17747116.059999999</v>
      </c>
    </row>
    <row r="12" spans="1:8" x14ac:dyDescent="0.3">
      <c r="A12" s="12" t="s">
        <v>20</v>
      </c>
      <c r="B12" s="13">
        <v>20949352.109999999</v>
      </c>
      <c r="D12" s="12" t="s">
        <v>9</v>
      </c>
      <c r="E12" s="13">
        <v>-614545.625</v>
      </c>
      <c r="G12" s="12" t="s">
        <v>39</v>
      </c>
      <c r="H12" s="13">
        <v>15390801.879999995</v>
      </c>
    </row>
    <row r="13" spans="1:8" x14ac:dyDescent="0.3">
      <c r="A13" s="12" t="s">
        <v>58</v>
      </c>
      <c r="B13" s="13">
        <v>118726350.26000005</v>
      </c>
      <c r="D13" s="12" t="s">
        <v>58</v>
      </c>
      <c r="E13" s="13">
        <v>16893702.259999983</v>
      </c>
      <c r="G13" s="12" t="s">
        <v>38</v>
      </c>
      <c r="H13" s="13">
        <v>13815307.885000004</v>
      </c>
    </row>
    <row r="14" spans="1:8" x14ac:dyDescent="0.3">
      <c r="G14" s="12" t="s">
        <v>58</v>
      </c>
      <c r="H14" s="13">
        <v>118726350.26000001</v>
      </c>
    </row>
    <row r="16" spans="1:8" ht="15" thickBot="1" x14ac:dyDescent="0.35"/>
    <row r="17" spans="1:2" ht="18.600000000000001" thickBot="1" x14ac:dyDescent="0.4">
      <c r="A17" s="15" t="s">
        <v>68</v>
      </c>
      <c r="B17" s="17"/>
    </row>
    <row r="19" spans="1:2" x14ac:dyDescent="0.3">
      <c r="A19" s="11" t="s">
        <v>64</v>
      </c>
      <c r="B19" t="s">
        <v>59</v>
      </c>
    </row>
    <row r="20" spans="1:2" x14ac:dyDescent="0.3">
      <c r="A20" s="12" t="s">
        <v>76</v>
      </c>
      <c r="B20" s="13">
        <v>6607761.6800000006</v>
      </c>
    </row>
    <row r="21" spans="1:2" x14ac:dyDescent="0.3">
      <c r="A21" s="12" t="s">
        <v>75</v>
      </c>
      <c r="B21" s="13">
        <v>7297531.3900000006</v>
      </c>
    </row>
    <row r="22" spans="1:2" x14ac:dyDescent="0.3">
      <c r="A22" s="12" t="s">
        <v>82</v>
      </c>
      <c r="B22" s="13">
        <v>5586859.8699999992</v>
      </c>
    </row>
    <row r="23" spans="1:2" x14ac:dyDescent="0.3">
      <c r="A23" s="12" t="s">
        <v>83</v>
      </c>
      <c r="B23" s="13">
        <v>6964775.0700000003</v>
      </c>
    </row>
    <row r="24" spans="1:2" x14ac:dyDescent="0.3">
      <c r="A24" s="12" t="s">
        <v>25</v>
      </c>
      <c r="B24" s="13">
        <v>6210211.0600000005</v>
      </c>
    </row>
    <row r="25" spans="1:2" x14ac:dyDescent="0.3">
      <c r="A25" s="12" t="s">
        <v>26</v>
      </c>
      <c r="B25" s="13">
        <v>9518893.8199999966</v>
      </c>
    </row>
    <row r="26" spans="1:2" x14ac:dyDescent="0.3">
      <c r="A26" s="12" t="s">
        <v>27</v>
      </c>
      <c r="B26" s="13">
        <v>8102920.1800000016</v>
      </c>
    </row>
    <row r="27" spans="1:2" x14ac:dyDescent="0.3">
      <c r="A27" s="12" t="s">
        <v>77</v>
      </c>
      <c r="B27" s="13">
        <v>5864622.4199999999</v>
      </c>
    </row>
    <row r="28" spans="1:2" x14ac:dyDescent="0.3">
      <c r="A28" s="12" t="s">
        <v>78</v>
      </c>
      <c r="B28" s="13">
        <v>10882697.270000003</v>
      </c>
    </row>
    <row r="29" spans="1:2" x14ac:dyDescent="0.3">
      <c r="A29" s="12" t="s">
        <v>79</v>
      </c>
      <c r="B29" s="13">
        <v>21671431.020000018</v>
      </c>
    </row>
    <row r="30" spans="1:2" x14ac:dyDescent="0.3">
      <c r="A30" s="12" t="s">
        <v>80</v>
      </c>
      <c r="B30" s="13">
        <v>12651417.499999998</v>
      </c>
    </row>
    <row r="31" spans="1:2" x14ac:dyDescent="0.3">
      <c r="A31" s="12" t="s">
        <v>81</v>
      </c>
      <c r="B31" s="13">
        <v>17367228.980000004</v>
      </c>
    </row>
    <row r="32" spans="1:2" x14ac:dyDescent="0.3">
      <c r="A32" s="12" t="s">
        <v>58</v>
      </c>
      <c r="B32" s="13">
        <v>118726350.26000004</v>
      </c>
    </row>
  </sheetData>
  <mergeCells count="4">
    <mergeCell ref="D5:E5"/>
    <mergeCell ref="A5:B5"/>
    <mergeCell ref="G5:H5"/>
    <mergeCell ref="A17:B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Raw data Copy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Abdul Raheem</cp:lastModifiedBy>
  <dcterms:created xsi:type="dcterms:W3CDTF">2014-01-28T02:45:41Z</dcterms:created>
  <dcterms:modified xsi:type="dcterms:W3CDTF">2026-06-19T05:04:38Z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